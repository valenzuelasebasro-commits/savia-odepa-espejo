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DA6CD070-2420-4B91-B19E-4FEEBBF6D30D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Frutas_Agrochillan!$A$2:$I$34</definedName>
    <definedName name="_xlnm.Print_Area" localSheetId="11">Frutas_Agronor!$A$2:$I$11</definedName>
    <definedName name="_xlnm.Print_Area" localSheetId="4">Frutas_Femacal!$A$2:$I$53</definedName>
    <definedName name="_xlnm.Print_Area" localSheetId="5">'Frutas_La Palmera'!$A$2:$I$37</definedName>
    <definedName name="_xlnm.Print_Area" localSheetId="8">'Frutas_Lagunita Pto.Montt'!$A$2:$I$20</definedName>
    <definedName name="_xlnm.Print_Area" localSheetId="1">'Frutas_Lo Valledor'!$A$2:$I$97</definedName>
    <definedName name="_xlnm.Print_Area" localSheetId="3">'Frutas_Macroferia Talca'!$A$2:$I$33</definedName>
    <definedName name="_xlnm.Print_Area" localSheetId="6">Frutas_Solcoagro!$A$2:$I$10</definedName>
    <definedName name="_xlnm.Print_Area" localSheetId="2">'Frutas_Vega Central Mapocho'!$A$2:$I$99</definedName>
    <definedName name="_xlnm.Print_Area" localSheetId="9">'Frutas_Vega Modelo Temuco'!$A$2:$I$40</definedName>
    <definedName name="_xlnm.Print_Area" localSheetId="7">'Frutas_Vega Monumental'!$A$2:$I$27</definedName>
    <definedName name="_xlnm.Print_Area" localSheetId="22">Hortalizas_Agrochillan!$A$2:$I$39</definedName>
    <definedName name="_xlnm.Print_Area" localSheetId="23">Hortalizas_Agronor!$A$2:$I$22</definedName>
    <definedName name="_xlnm.Print_Area" localSheetId="16">Hortalizas_Femacal!$A$2:$I$57</definedName>
    <definedName name="_xlnm.Print_Area" localSheetId="17">'Hortalizas_La Palmera'!$A$2:$I$34</definedName>
    <definedName name="_xlnm.Print_Area" localSheetId="20">'Hortalizas_Lagunita Pto.Montt'!$A$2:$I$26</definedName>
    <definedName name="_xlnm.Print_Area" localSheetId="12">'Hortalizas_Lo Valledor'!$A$2:$I$90</definedName>
    <definedName name="_xlnm.Print_Area" localSheetId="15">'Hortalizas_Macroferia Talca'!$A$2:$I$33</definedName>
    <definedName name="_xlnm.Print_Area" localSheetId="14">'Hortalizas_Mapocho Vta.dir'!$A$2:$I$18</definedName>
    <definedName name="_xlnm.Print_Area" localSheetId="18">Hortalizas_Solcoagro!$A$2:$I$10</definedName>
    <definedName name="_xlnm.Print_Area" localSheetId="13">'Hortalizas_Vega Central Mapocho'!$A$2:$I$51</definedName>
    <definedName name="_xlnm.Print_Area" localSheetId="21">'Hortalizas_Vega Modelo Temuco'!$A$2:$I$66</definedName>
    <definedName name="_xlnm.Print_Area" localSheetId="19">'Hortalizas_Vega Monumental'!$A$2:$I$32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<sst xmlns="http://schemas.openxmlformats.org/spreadsheetml/2006/main" count="3934" uniqueCount="313">
  <si>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</si>
  <si>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</si>
  <si>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</si>
  <si>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</si>
  <si>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</si>
  <si>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</si>
  <si>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</si>
  <si>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</si>
  <si>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</si>
  <si>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</si>
  <si>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</si>
  <si>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</si>
  <si>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</si>
  <si>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</si>
  <si>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</si>
  <si>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</si>
  <si>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</si>
  <si>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</si>
  <si>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</si>
  <si>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</si>
  <si>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</si>
  <si>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</si>
  <si>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</si>
  <si>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</si>
  <si>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</si>
  <si>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</si>
  <si>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</si>
  <si>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</si>
  <si>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</si>
  <si>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</si>
  <si>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</si>
  <si>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</si>
  <si>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</si>
  <si>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</si>
  <si>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</si>
  <si>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</si>
  <si>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</si>
  <si>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</si>
  <si>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</si>
  <si>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</si>
  <si>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</si>
  <si>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</si>
  <si>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</si>
  <si>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</si>
  <si>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</si>
  <si>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</si>
  <si>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</si>
  <si>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</si>
  <si>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</si>
  <si>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</si>
  <si>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</si>
  <si>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</si>
  <si>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</si>
  <si>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</si>
  <si>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</si>
  <si>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</si>
  <si>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</si>
  <si>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Segunda</t>
  </si>
  <si>
    <t>$/caja 24 kilos</t>
  </si>
  <si>
    <t>Perú</t>
  </si>
  <si>
    <t>Ají</t>
  </si>
  <si>
    <t>Inferno</t>
  </si>
  <si>
    <t>$/caja 15 kilos</t>
  </si>
  <si>
    <t>Región de Arica y Parinacota</t>
  </si>
  <si>
    <t>Brócoli</t>
  </si>
  <si>
    <t>Sin especificar</t>
  </si>
  <si>
    <t>Primera</t>
  </si>
  <si>
    <t>$/unidad</t>
  </si>
  <si>
    <t>Tercera</t>
  </si>
  <si>
    <t>Lechuga</t>
  </si>
  <si>
    <t>Escarola</t>
  </si>
  <si>
    <t>$/caja 12 unidades</t>
  </si>
  <si>
    <t>$/caja 18 unidades</t>
  </si>
  <si>
    <t>Repollo</t>
  </si>
  <si>
    <t>Copenhague</t>
  </si>
  <si>
    <t>Tomate</t>
  </si>
  <si>
    <t>Cherry</t>
  </si>
  <si>
    <t>$/caja 10 kilos</t>
  </si>
  <si>
    <t>Larga vida</t>
  </si>
  <si>
    <t>$/caja 8 kilos</t>
  </si>
  <si>
    <t>Kiwi</t>
  </si>
  <si>
    <t>Hayward</t>
  </si>
  <si>
    <t>Especial</t>
  </si>
  <si>
    <t>$/bandeja 10 kilos</t>
  </si>
  <si>
    <t>Provincia de Curicó</t>
  </si>
  <si>
    <t>1a amarillo</t>
  </si>
  <si>
    <t>$/malla 16 kilos</t>
  </si>
  <si>
    <t>Provincia de Quillota</t>
  </si>
  <si>
    <t>2a amarillo</t>
  </si>
  <si>
    <t>Mandarina</t>
  </si>
  <si>
    <t>Clemenuless</t>
  </si>
  <si>
    <t>$/caja 15 kilos granel</t>
  </si>
  <si>
    <t>Mango</t>
  </si>
  <si>
    <t>$/bandeja 4 kilos</t>
  </si>
  <si>
    <t>Brasil</t>
  </si>
  <si>
    <t>Manzana</t>
  </si>
  <si>
    <t>Fuji royal</t>
  </si>
  <si>
    <t>Calibre 80</t>
  </si>
  <si>
    <t>$/caja 18 kilos embalada</t>
  </si>
  <si>
    <t>Región de O'Higgins</t>
  </si>
  <si>
    <t>Calibre 90</t>
  </si>
  <si>
    <t>$/bandeja 15 kilos granel</t>
  </si>
  <si>
    <t>Extra (doble especial)</t>
  </si>
  <si>
    <t>Granny Smith</t>
  </si>
  <si>
    <t>Pink Lady</t>
  </si>
  <si>
    <t>Naranja</t>
  </si>
  <si>
    <t>Navel Late</t>
  </si>
  <si>
    <t>$/malla 10 kilos</t>
  </si>
  <si>
    <t>New Hall</t>
  </si>
  <si>
    <t>Palta</t>
  </si>
  <si>
    <t>Hass</t>
  </si>
  <si>
    <t>$/kilo (en caja de 15 kilos)</t>
  </si>
  <si>
    <t>Pera</t>
  </si>
  <si>
    <t>Packham's Triumph</t>
  </si>
  <si>
    <t>Piña</t>
  </si>
  <si>
    <t>Caramelo</t>
  </si>
  <si>
    <t>$/caja 7 unidades</t>
  </si>
  <si>
    <t>Ecuador</t>
  </si>
  <si>
    <t>$/caja 8 unidades</t>
  </si>
  <si>
    <t>Plátano</t>
  </si>
  <si>
    <t>Pintón</t>
  </si>
  <si>
    <t>$/caja 20 kilos</t>
  </si>
  <si>
    <t>Primera Pintón</t>
  </si>
  <si>
    <t>Uva</t>
  </si>
  <si>
    <t>Red Globe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</si>
  <si>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</si>
  <si>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</si>
  <si>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</si>
  <si>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</si>
  <si>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</si>
  <si>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</si>
  <si>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China</t>
  </si>
  <si>
    <t>Alcachofa</t>
  </si>
  <si>
    <t>Española</t>
  </si>
  <si>
    <t>$/caja 30 unidades</t>
  </si>
  <si>
    <t>Provincia de Limarí</t>
  </si>
  <si>
    <t>$/caja 40 unidades</t>
  </si>
  <si>
    <t>Apio</t>
  </si>
  <si>
    <t>Americana (o)</t>
  </si>
  <si>
    <t>$/docena de matas</t>
  </si>
  <si>
    <t>Berenjena</t>
  </si>
  <si>
    <t>Betarraga</t>
  </si>
  <si>
    <t>$/paquete 4 unidades</t>
  </si>
  <si>
    <t>Región Metropolitana</t>
  </si>
  <si>
    <t>Cebolla</t>
  </si>
  <si>
    <t>Morada(o)</t>
  </si>
  <si>
    <t>1a (guarda)</t>
  </si>
  <si>
    <t>$/malla 18 kilos</t>
  </si>
  <si>
    <t>$/malla 15 kilos</t>
  </si>
  <si>
    <t>Provincia de Santiago</t>
  </si>
  <si>
    <t>Cebollín</t>
  </si>
  <si>
    <t>$/paquete 36 unidades</t>
  </si>
  <si>
    <t>Cilantro</t>
  </si>
  <si>
    <t>$/docena de atados (3 kilos)</t>
  </si>
  <si>
    <t>Coliflor</t>
  </si>
  <si>
    <t>Provincia de Melipilla</t>
  </si>
  <si>
    <t>Espinaca</t>
  </si>
  <si>
    <t>Conconina(o)</t>
  </si>
  <si>
    <t>$/caja 10 unidades</t>
  </si>
  <si>
    <t>$/caja 15 unidades</t>
  </si>
  <si>
    <t>Papa</t>
  </si>
  <si>
    <t>Asterix</t>
  </si>
  <si>
    <t>$/saco 25 kilos</t>
  </si>
  <si>
    <t>Región de La Araucanía</t>
  </si>
  <si>
    <t>Patagonia</t>
  </si>
  <si>
    <t>Rosara</t>
  </si>
  <si>
    <t>1a (cosecha)</t>
  </si>
  <si>
    <t>Región del Maule</t>
  </si>
  <si>
    <t>Pepino ensalada</t>
  </si>
  <si>
    <t>$/caja 70 unidades</t>
  </si>
  <si>
    <t>$/caja 100 unidades</t>
  </si>
  <si>
    <t>Pimiento</t>
  </si>
  <si>
    <t>Zafiro rojo</t>
  </si>
  <si>
    <t>Zafiro verde</t>
  </si>
  <si>
    <t>Poroto verde</t>
  </si>
  <si>
    <t>$/malla 25 kilos</t>
  </si>
  <si>
    <t>Crespo record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</si>
  <si>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</si>
  <si>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</si>
  <si>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</si>
  <si>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</si>
  <si>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</si>
  <si>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</si>
  <si>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</si>
  <si>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2a (guarda)</t>
  </si>
  <si>
    <t>Provincia de Talca</t>
  </si>
  <si>
    <t>Paine</t>
  </si>
  <si>
    <t>Zapallo italiano</t>
  </si>
  <si>
    <t>$/caja 50 unidades</t>
  </si>
  <si>
    <t>$/caja 15 kilos empedrada</t>
  </si>
  <si>
    <t>Membrillo</t>
  </si>
  <si>
    <t>Champion</t>
  </si>
  <si>
    <t>$/caja 18 kilos empedrada</t>
  </si>
  <si>
    <t>Pomelo</t>
  </si>
  <si>
    <t>Start Ruby</t>
  </si>
  <si>
    <t>$/caja 14 kilos empedrada</t>
  </si>
  <si>
    <t>Región de Coquimbo</t>
  </si>
  <si>
    <t>$/paquete 5 unidades</t>
  </si>
  <si>
    <t>$/malla 17 kilos</t>
  </si>
  <si>
    <t>$/caja 36 atados</t>
  </si>
  <si>
    <t>Red Lady</t>
  </si>
  <si>
    <t>Provincia de Llanquihue</t>
  </si>
  <si>
    <t>Morrón rojo</t>
  </si>
  <si>
    <t>Extra</t>
  </si>
  <si>
    <t>Frutilla</t>
  </si>
  <si>
    <t>$/bandeja 7 kilos</t>
  </si>
  <si>
    <t>$/malla 14 kilos</t>
  </si>
  <si>
    <t>Cabildo</t>
  </si>
  <si>
    <t>Fukumoto</t>
  </si>
  <si>
    <t>Negra de La Cruz</t>
  </si>
  <si>
    <t>$/kilo (en caja de 17 kilos)</t>
  </si>
  <si>
    <t>Abate Fettel</t>
  </si>
  <si>
    <t>$/bandeja 18 kilos granel</t>
  </si>
  <si>
    <t>Forelle</t>
  </si>
  <si>
    <t>Superior Seedless</t>
  </si>
  <si>
    <t>Provincia del Elquí</t>
  </si>
  <si>
    <t>Marina</t>
  </si>
  <si>
    <t>1a (cosecha lavada)</t>
  </si>
  <si>
    <t>Rodeo</t>
  </si>
  <si>
    <t>$/caja 60 unidades</t>
  </si>
  <si>
    <t>$/bins (450 kilos)</t>
  </si>
  <si>
    <t>3a amarillo</t>
  </si>
  <si>
    <t>Murcott</t>
  </si>
  <si>
    <t>Oro Grande</t>
  </si>
  <si>
    <t>Provincia de Petorca</t>
  </si>
  <si>
    <t>Calibre 100</t>
  </si>
  <si>
    <t>$/bins (400 kilos)</t>
  </si>
  <si>
    <t>Rosy Glow</t>
  </si>
  <si>
    <t>Edranol</t>
  </si>
  <si>
    <t>Winter Nelis</t>
  </si>
  <si>
    <t>$/caja 5 unidades</t>
  </si>
  <si>
    <t>$/caja 6 unidades</t>
  </si>
  <si>
    <t>$/caja 14 unidades</t>
  </si>
  <si>
    <t>$/caja 16 unidades</t>
  </si>
  <si>
    <t>Primera Maduro</t>
  </si>
  <si>
    <t>$/docena de atados</t>
  </si>
  <si>
    <t>Bruselas (repollito)</t>
  </si>
  <si>
    <t>3a (guarda)</t>
  </si>
  <si>
    <t>Ciboulette</t>
  </si>
  <si>
    <t>$/cuna 10 kilos</t>
  </si>
  <si>
    <t>Milanesa</t>
  </si>
  <si>
    <t>$/caja 20 unidades</t>
  </si>
  <si>
    <t>Orégano</t>
  </si>
  <si>
    <t>Provincia de Talagante</t>
  </si>
  <si>
    <t>Rosi</t>
  </si>
  <si>
    <t>Perejil</t>
  </si>
  <si>
    <t>Cuatro cascos verde</t>
  </si>
  <si>
    <t>$/caja 18 kilos</t>
  </si>
  <si>
    <t>Magnum</t>
  </si>
  <si>
    <t>$/bandeja 15 kilos</t>
  </si>
  <si>
    <t>Royal Gala</t>
  </si>
  <si>
    <t>Provincia de Diguillín</t>
  </si>
  <si>
    <t>Pepino dulce</t>
  </si>
  <si>
    <t>$/atado 0,5 a 1 kilo</t>
  </si>
  <si>
    <t>Región de Ñuble</t>
  </si>
  <si>
    <t>$/atado 1,5 a 2 kilos</t>
  </si>
  <si>
    <t>$/media docena de matas</t>
  </si>
  <si>
    <t>$/paquete 3 unidades</t>
  </si>
  <si>
    <t>$/paquete 30 unidades</t>
  </si>
  <si>
    <t>$/atado 1 a 1,5 kilos</t>
  </si>
  <si>
    <t>$/atado 300 a 500 gramos</t>
  </si>
  <si>
    <t>Cardinal</t>
  </si>
  <si>
    <t>Región de Los Lagos</t>
  </si>
  <si>
    <t>1a nueva(o)</t>
  </si>
  <si>
    <t>Sutil De Gase</t>
  </si>
  <si>
    <t>$/caja 18 kilos granel</t>
  </si>
  <si>
    <t>Cara cara</t>
  </si>
  <si>
    <t>Fuerte</t>
  </si>
  <si>
    <t>Barraganete</t>
  </si>
  <si>
    <t>Maduro</t>
  </si>
  <si>
    <t>Verde</t>
  </si>
  <si>
    <t>Tuna</t>
  </si>
  <si>
    <t>$/bandeja 12 kilos</t>
  </si>
  <si>
    <t>Crimpson Seedless</t>
  </si>
  <si>
    <t>Thompson seedless</t>
  </si>
  <si>
    <t>Provincia de Chacabuco</t>
  </si>
  <si>
    <t>Haba</t>
  </si>
  <si>
    <t>Francesa morada</t>
  </si>
  <si>
    <t>Zafiro amarillo</t>
  </si>
  <si>
    <t>Granada</t>
  </si>
  <si>
    <t>Wonderfull</t>
  </si>
  <si>
    <t>$/bandeja 10 kilos granel</t>
  </si>
  <si>
    <t>Especial amarillo</t>
  </si>
  <si>
    <t>Ambrosia</t>
  </si>
  <si>
    <t>Red Delicious</t>
  </si>
  <si>
    <t>$/caja 12 kilos embalada</t>
  </si>
  <si>
    <t>$/docena de atados (12 kilos)</t>
  </si>
  <si>
    <t>Provincia de Cautín</t>
  </si>
  <si>
    <t>Achicoria</t>
  </si>
  <si>
    <t>Amarillo</t>
  </si>
  <si>
    <t>Madrigal</t>
  </si>
  <si>
    <t>$/docena de paquetes</t>
  </si>
  <si>
    <t>$/docena de atados (2 kilos)</t>
  </si>
  <si>
    <t>Jengibre</t>
  </si>
  <si>
    <t>$/caja 13 kilos</t>
  </si>
  <si>
    <t>Locoto</t>
  </si>
  <si>
    <t>Alaska</t>
  </si>
  <si>
    <t>Puerro</t>
  </si>
  <si>
    <t>Azul de Maquehue</t>
  </si>
  <si>
    <t>Rabanito</t>
  </si>
  <si>
    <t>Ramas de apio</t>
  </si>
  <si>
    <t>$/paquete</t>
  </si>
  <si>
    <t>Pomodoro</t>
  </si>
  <si>
    <t>Racimo</t>
  </si>
  <si>
    <t>Butternut</t>
  </si>
  <si>
    <t>Chakal</t>
  </si>
  <si>
    <t>$/kilo</t>
  </si>
  <si>
    <t>Diaguita</t>
  </si>
  <si>
    <t>$/caja 16 kilos empedrada</t>
  </si>
  <si>
    <t>Provincia de Arauco</t>
  </si>
  <si>
    <t>Fuente: elaborado por Odepa.</t>
  </si>
  <si>
    <t>Sin transacciones mayoristas</t>
  </si>
  <si>
    <t>23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</si>
</sst>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6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3" fontId="0" fillId="4" borderId="0" xfId="0" applyNumberFormat="1" applyFill="1" applyAlignment="1">
      <alignment horizontal="center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3" xfId="0" applyFont="1" applyFill="1" applyBorder="1"/>
    <xf numFmtId="0" fontId="0" fillId="4" borderId="23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3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3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0" fillId="4" borderId="22" xfId="0" applyFont="1" applyFill="1" applyBorder="1"/>
    <xf numFmtId="3" fontId="0" fillId="4" borderId="22" xfId="0" applyNumberFormat="1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/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3" t="s">
        <v>26</v>
      </c>
      <c r="D14" s="103"/>
      <c r="E14" s="103"/>
      <c r="F14" s="103"/>
      <c r="G14" s="103"/>
      <c r="H14" s="103"/>
    </row>
    <row r="15" spans="1:8" ht="19.5" x14ac:dyDescent="0.35">
      <c r="A15" s="26"/>
      <c r="B15" s="26"/>
      <c r="C15" s="103" t="s">
        <v>23</v>
      </c>
      <c r="D15" s="103"/>
      <c r="E15" s="103"/>
      <c r="F15" s="103"/>
      <c r="G15" s="103"/>
      <c r="H15" s="103"/>
    </row>
    <row r="16" spans="1:8" ht="19.5" x14ac:dyDescent="0.35">
      <c r="A16" s="26"/>
      <c r="B16" s="26"/>
      <c r="C16" s="103" t="s">
        <v>24</v>
      </c>
      <c r="D16" s="103"/>
      <c r="E16" s="103"/>
      <c r="F16" s="103"/>
      <c r="G16" s="103"/>
      <c r="H16" s="103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9" t="s">
        <v>312</v>
      </c>
      <c r="B18" s="109"/>
      <c r="C18" s="109"/>
      <c r="D18" s="109"/>
      <c r="E18" s="109"/>
      <c r="F18" s="109"/>
      <c r="G18" s="109"/>
      <c r="H18" s="109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7" t="s">
        <v>4</v>
      </c>
      <c r="B41" s="107"/>
      <c r="C41" s="107"/>
      <c r="D41" s="107"/>
      <c r="E41" s="107"/>
      <c r="F41" s="107"/>
      <c r="G41" s="107"/>
      <c r="H41" s="27"/>
    </row>
    <row r="42" spans="1:12" ht="24.9" customHeight="1" x14ac:dyDescent="0.35">
      <c r="A42" s="108"/>
      <c r="B42" s="108"/>
      <c r="C42" s="108"/>
      <c r="D42" s="108"/>
      <c r="E42" s="108"/>
      <c r="F42" s="108"/>
      <c r="G42" s="108"/>
      <c r="H42" s="27"/>
      <c r="L42" s="20"/>
    </row>
    <row r="43" spans="1:12" ht="24.9" customHeight="1" x14ac:dyDescent="0.35">
      <c r="A43" s="96" t="s">
        <v>6</v>
      </c>
      <c r="B43" s="97"/>
      <c r="C43" s="97"/>
      <c r="D43" s="97"/>
      <c r="E43" s="97"/>
      <c r="F43" s="98"/>
      <c r="G43" s="56" t="s">
        <v>5</v>
      </c>
      <c r="H43" s="27"/>
      <c r="J43" s="93"/>
      <c r="K43" s="93"/>
      <c r="L43" s="93"/>
    </row>
    <row r="44" spans="1:12" ht="18" customHeight="1" x14ac:dyDescent="0.35">
      <c r="A44" s="35"/>
      <c r="B44" s="95" t="s">
        <v>50</v>
      </c>
      <c r="C44" s="95"/>
      <c r="D44" s="95"/>
      <c r="E44" s="95"/>
      <c r="F44" s="95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2" t="s">
        <v>31</v>
      </c>
      <c r="C45" s="102"/>
      <c r="D45" s="102"/>
      <c r="E45" s="102"/>
      <c r="F45" s="102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9" t="s">
        <v>7</v>
      </c>
      <c r="B55" s="100"/>
      <c r="C55" s="100"/>
      <c r="D55" s="100"/>
      <c r="E55" s="100"/>
      <c r="F55" s="101"/>
      <c r="G55" s="57" t="s">
        <v>5</v>
      </c>
      <c r="H55" s="27"/>
      <c r="J55" s="94"/>
      <c r="K55" s="94"/>
      <c r="L55" s="94"/>
    </row>
    <row r="56" spans="1:12" ht="18" customHeight="1" x14ac:dyDescent="0.35">
      <c r="A56" s="37"/>
      <c r="B56" s="95" t="s">
        <v>50</v>
      </c>
      <c r="C56" s="95"/>
      <c r="D56" s="95"/>
      <c r="E56" s="95"/>
      <c r="F56" s="95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5" t="s">
        <v>31</v>
      </c>
      <c r="C57" s="95"/>
      <c r="D57" s="95"/>
      <c r="E57" s="95"/>
      <c r="F57" s="95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2" t="s">
        <v>8</v>
      </c>
      <c r="C58" s="102"/>
      <c r="D58" s="102"/>
      <c r="E58" s="102"/>
      <c r="F58" s="106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10" t="s">
        <v>52</v>
      </c>
      <c r="B69" s="110"/>
      <c r="C69" s="110"/>
      <c r="D69" s="110"/>
      <c r="E69" s="110"/>
      <c r="F69" s="110"/>
      <c r="G69" s="110"/>
      <c r="H69" s="110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1" t="s">
        <v>27</v>
      </c>
      <c r="B72" s="111"/>
      <c r="C72" s="111"/>
      <c r="D72" s="111"/>
      <c r="E72" s="111"/>
      <c r="F72" s="111"/>
      <c r="G72" s="111"/>
      <c r="H72" s="111"/>
    </row>
    <row r="73" spans="1:12" ht="15" customHeight="1" x14ac:dyDescent="0.35">
      <c r="A73" s="111" t="s">
        <v>0</v>
      </c>
      <c r="B73" s="111"/>
      <c r="C73" s="111"/>
      <c r="D73" s="111"/>
      <c r="E73" s="111"/>
      <c r="F73" s="111"/>
      <c r="G73" s="111"/>
      <c r="H73" s="111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2" t="s">
        <v>53</v>
      </c>
      <c r="B75" s="113"/>
      <c r="C75" s="113"/>
      <c r="D75" s="113"/>
      <c r="E75" s="113"/>
      <c r="F75" s="113"/>
      <c r="G75" s="113"/>
      <c r="H75" s="113"/>
    </row>
    <row r="76" spans="1:12" ht="15" customHeight="1" x14ac:dyDescent="0.35">
      <c r="A76" s="111" t="s">
        <v>54</v>
      </c>
      <c r="B76" s="111"/>
      <c r="C76" s="111"/>
      <c r="D76" s="111"/>
      <c r="E76" s="111"/>
      <c r="F76" s="111"/>
      <c r="G76" s="111"/>
      <c r="H76" s="111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10" t="s">
        <v>1</v>
      </c>
      <c r="B80" s="110"/>
      <c r="C80" s="110"/>
      <c r="D80" s="110"/>
      <c r="E80" s="110"/>
      <c r="F80" s="110"/>
      <c r="G80" s="110"/>
      <c r="H80" s="110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2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4"/>
      <c r="B94" s="104"/>
      <c r="C94" s="104"/>
      <c r="D94" s="104"/>
      <c r="E94" s="104"/>
      <c r="F94" s="104"/>
      <c r="G94" s="104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5"/>
      <c r="B132" s="105"/>
      <c r="C132" s="105"/>
      <c r="D132" s="105"/>
      <c r="E132" s="105"/>
      <c r="F132" s="105"/>
      <c r="G132" s="105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2" t="s">
        <v>6</v>
      </c>
      <c r="B2" s="83"/>
      <c r="C2" s="84"/>
      <c r="D2" s="76"/>
      <c r="E2" s="62"/>
      <c r="F2" s="62"/>
      <c r="G2" s="62"/>
    </row>
    <row r="3" spans="1:9" ht="18.5" x14ac:dyDescent="0.45">
      <c r="A3" s="83" t="s">
        <v>15</v>
      </c>
      <c r="B3" s="83"/>
      <c r="C3" s="84"/>
      <c r="D3" s="76"/>
      <c r="E3" s="62"/>
      <c r="F3" s="62"/>
      <c r="G3" s="62"/>
    </row>
    <row r="4" spans="1:9" ht="18.5" x14ac:dyDescent="0.45">
      <c r="A4" s="83" t="s">
        <v>16</v>
      </c>
      <c r="B4" s="85">
        <f ca="1">TODAY()</f>
        <v>46226</v>
      </c>
      <c r="C4" s="84"/>
      <c r="D4" s="76"/>
      <c r="E4" s="62"/>
      <c r="F4" s="62"/>
      <c r="G4" s="62"/>
    </row>
    <row r="5" spans="1:9" ht="18.5" x14ac:dyDescent="0.45">
      <c r="A5" s="83" t="s">
        <v>49</v>
      </c>
      <c r="B5" s="83"/>
      <c r="C5" s="84"/>
      <c r="D5" s="76"/>
      <c r="E5" s="62"/>
      <c r="F5" s="62"/>
      <c r="G5" s="62"/>
    </row>
    <row r="6" spans="1:9" ht="18.5" x14ac:dyDescent="0.45">
      <c r="A6" s="83"/>
      <c r="B6" s="83"/>
      <c r="D6" s="76"/>
      <c r="E6" s="62"/>
      <c r="F6" s="62"/>
      <c r="G6" s="62"/>
    </row>
    <row r="7" spans="1:9" ht="18.5" x14ac:dyDescent="0.45">
      <c r="A7" s="87" t="s">
        <v>51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7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204</v>
      </c>
      <c r="B10" s="122" t="s">
        <v>65</v>
      </c>
      <c r="C10" s="122" t="s">
        <v>82</v>
      </c>
      <c r="D10" s="125">
        <v>380</v>
      </c>
      <c r="E10" s="125">
        <v>27000</v>
      </c>
      <c r="F10" s="125">
        <v>25000</v>
      </c>
      <c r="G10" s="125">
        <v>26053</v>
      </c>
      <c r="H10" s="122" t="s">
        <v>205</v>
      </c>
      <c r="I10" s="122" t="s">
        <v>155</v>
      </c>
    </row>
    <row r="11" spans="1:9" s="27" customFormat="1" ht="14.5" x14ac:dyDescent="0.35">
      <c r="A11" s="117" t="s">
        <v>204</v>
      </c>
      <c r="B11" s="117" t="s">
        <v>65</v>
      </c>
      <c r="C11" s="118" t="s">
        <v>66</v>
      </c>
      <c r="D11" s="126">
        <v>400</v>
      </c>
      <c r="E11" s="126">
        <v>23000</v>
      </c>
      <c r="F11" s="126">
        <v>21000</v>
      </c>
      <c r="G11" s="126">
        <v>22250</v>
      </c>
      <c r="H11" s="117" t="s">
        <v>205</v>
      </c>
      <c r="I11" s="117" t="s">
        <v>155</v>
      </c>
    </row>
    <row r="12" spans="1:9" s="27" customFormat="1" ht="14.5" x14ac:dyDescent="0.35">
      <c r="A12" s="117" t="s">
        <v>204</v>
      </c>
      <c r="B12" s="117" t="s">
        <v>65</v>
      </c>
      <c r="C12" s="118" t="s">
        <v>57</v>
      </c>
      <c r="D12" s="126">
        <v>340</v>
      </c>
      <c r="E12" s="126">
        <v>17000</v>
      </c>
      <c r="F12" s="126">
        <v>16000</v>
      </c>
      <c r="G12" s="126">
        <v>16529</v>
      </c>
      <c r="H12" s="117" t="s">
        <v>205</v>
      </c>
      <c r="I12" s="117" t="s">
        <v>155</v>
      </c>
    </row>
    <row r="13" spans="1:9" s="27" customFormat="1" ht="14.5" x14ac:dyDescent="0.35">
      <c r="A13" s="117" t="s">
        <v>80</v>
      </c>
      <c r="B13" s="117" t="s">
        <v>81</v>
      </c>
      <c r="C13" s="118" t="s">
        <v>82</v>
      </c>
      <c r="D13" s="126">
        <v>12</v>
      </c>
      <c r="E13" s="126">
        <v>405000</v>
      </c>
      <c r="F13" s="126">
        <v>405000</v>
      </c>
      <c r="G13" s="126">
        <v>405000</v>
      </c>
      <c r="H13" s="117" t="s">
        <v>220</v>
      </c>
      <c r="I13" s="117" t="s">
        <v>99</v>
      </c>
    </row>
    <row r="14" spans="1:9" s="27" customFormat="1" ht="14.5" x14ac:dyDescent="0.35">
      <c r="A14" s="117" t="s">
        <v>80</v>
      </c>
      <c r="B14" s="117" t="s">
        <v>81</v>
      </c>
      <c r="C14" s="118" t="s">
        <v>102</v>
      </c>
      <c r="D14" s="126">
        <v>10</v>
      </c>
      <c r="E14" s="126">
        <v>450000</v>
      </c>
      <c r="F14" s="126">
        <v>450000</v>
      </c>
      <c r="G14" s="126">
        <v>450000</v>
      </c>
      <c r="H14" s="117" t="s">
        <v>220</v>
      </c>
      <c r="I14" s="117" t="s">
        <v>99</v>
      </c>
    </row>
    <row r="15" spans="1:9" s="27" customFormat="1" ht="14.5" x14ac:dyDescent="0.35">
      <c r="A15" s="117" t="s">
        <v>80</v>
      </c>
      <c r="B15" s="117" t="s">
        <v>81</v>
      </c>
      <c r="C15" s="118" t="s">
        <v>66</v>
      </c>
      <c r="D15" s="126">
        <v>15</v>
      </c>
      <c r="E15" s="126">
        <v>360000</v>
      </c>
      <c r="F15" s="126">
        <v>360000</v>
      </c>
      <c r="G15" s="126">
        <v>360000</v>
      </c>
      <c r="H15" s="117" t="s">
        <v>220</v>
      </c>
      <c r="I15" s="117" t="s">
        <v>99</v>
      </c>
    </row>
    <row r="16" spans="1:9" s="27" customFormat="1" ht="14.5" x14ac:dyDescent="0.35">
      <c r="A16" s="117" t="s">
        <v>80</v>
      </c>
      <c r="B16" s="117" t="s">
        <v>81</v>
      </c>
      <c r="C16" s="118" t="s">
        <v>57</v>
      </c>
      <c r="D16" s="126">
        <v>10</v>
      </c>
      <c r="E16" s="126">
        <v>280000</v>
      </c>
      <c r="F16" s="126">
        <v>280000</v>
      </c>
      <c r="G16" s="126">
        <v>280000</v>
      </c>
      <c r="H16" s="117" t="s">
        <v>220</v>
      </c>
      <c r="I16" s="117" t="s">
        <v>99</v>
      </c>
    </row>
    <row r="17" spans="1:9" s="27" customFormat="1" ht="14.5" x14ac:dyDescent="0.35">
      <c r="A17" s="117" t="s">
        <v>55</v>
      </c>
      <c r="B17" s="117" t="s">
        <v>65</v>
      </c>
      <c r="C17" s="118" t="s">
        <v>85</v>
      </c>
      <c r="D17" s="126">
        <v>845</v>
      </c>
      <c r="E17" s="126">
        <v>3500</v>
      </c>
      <c r="F17" s="126">
        <v>3000</v>
      </c>
      <c r="G17" s="126">
        <v>3266</v>
      </c>
      <c r="H17" s="117" t="s">
        <v>147</v>
      </c>
      <c r="I17" s="117" t="s">
        <v>207</v>
      </c>
    </row>
    <row r="18" spans="1:9" s="27" customFormat="1" ht="14.5" x14ac:dyDescent="0.35">
      <c r="A18" s="117" t="s">
        <v>55</v>
      </c>
      <c r="B18" s="117" t="s">
        <v>65</v>
      </c>
      <c r="C18" s="118" t="s">
        <v>85</v>
      </c>
      <c r="D18" s="126">
        <v>870</v>
      </c>
      <c r="E18" s="126">
        <v>3500</v>
      </c>
      <c r="F18" s="126">
        <v>3000</v>
      </c>
      <c r="G18" s="126">
        <v>3264</v>
      </c>
      <c r="H18" s="117" t="s">
        <v>147</v>
      </c>
      <c r="I18" s="117" t="s">
        <v>155</v>
      </c>
    </row>
    <row r="19" spans="1:9" s="27" customFormat="1" ht="14.5" x14ac:dyDescent="0.35">
      <c r="A19" s="117" t="s">
        <v>55</v>
      </c>
      <c r="B19" s="117" t="s">
        <v>65</v>
      </c>
      <c r="C19" s="118" t="s">
        <v>88</v>
      </c>
      <c r="D19" s="126">
        <v>965</v>
      </c>
      <c r="E19" s="126">
        <v>2500</v>
      </c>
      <c r="F19" s="126">
        <v>2000</v>
      </c>
      <c r="G19" s="126">
        <v>2256</v>
      </c>
      <c r="H19" s="117" t="s">
        <v>147</v>
      </c>
      <c r="I19" s="117" t="s">
        <v>207</v>
      </c>
    </row>
    <row r="20" spans="1:9" s="27" customFormat="1" ht="14.5" x14ac:dyDescent="0.35">
      <c r="A20" s="117" t="s">
        <v>55</v>
      </c>
      <c r="B20" s="117" t="s">
        <v>65</v>
      </c>
      <c r="C20" s="118" t="s">
        <v>88</v>
      </c>
      <c r="D20" s="126">
        <v>995</v>
      </c>
      <c r="E20" s="126">
        <v>2500</v>
      </c>
      <c r="F20" s="126">
        <v>2000</v>
      </c>
      <c r="G20" s="126">
        <v>2244</v>
      </c>
      <c r="H20" s="117" t="s">
        <v>147</v>
      </c>
      <c r="I20" s="117" t="s">
        <v>155</v>
      </c>
    </row>
    <row r="21" spans="1:9" s="27" customFormat="1" ht="14.5" x14ac:dyDescent="0.35">
      <c r="A21" s="117" t="s">
        <v>55</v>
      </c>
      <c r="B21" s="117" t="s">
        <v>65</v>
      </c>
      <c r="C21" s="118" t="s">
        <v>221</v>
      </c>
      <c r="D21" s="126">
        <v>795</v>
      </c>
      <c r="E21" s="126">
        <v>1500</v>
      </c>
      <c r="F21" s="126">
        <v>1000</v>
      </c>
      <c r="G21" s="126">
        <v>1261</v>
      </c>
      <c r="H21" s="117" t="s">
        <v>147</v>
      </c>
      <c r="I21" s="117" t="s">
        <v>207</v>
      </c>
    </row>
    <row r="22" spans="1:9" s="27" customFormat="1" ht="14.5" x14ac:dyDescent="0.35">
      <c r="A22" s="117" t="s">
        <v>55</v>
      </c>
      <c r="B22" s="117" t="s">
        <v>65</v>
      </c>
      <c r="C22" s="118" t="s">
        <v>221</v>
      </c>
      <c r="D22" s="126">
        <v>835</v>
      </c>
      <c r="E22" s="126">
        <v>1500</v>
      </c>
      <c r="F22" s="126">
        <v>1000</v>
      </c>
      <c r="G22" s="126">
        <v>1237</v>
      </c>
      <c r="H22" s="117" t="s">
        <v>147</v>
      </c>
      <c r="I22" s="117" t="s">
        <v>155</v>
      </c>
    </row>
    <row r="23" spans="1:9" s="27" customFormat="1" ht="14.5" x14ac:dyDescent="0.35">
      <c r="A23" s="117" t="s">
        <v>89</v>
      </c>
      <c r="B23" s="117" t="s">
        <v>222</v>
      </c>
      <c r="C23" s="118" t="s">
        <v>82</v>
      </c>
      <c r="D23" s="126">
        <v>6</v>
      </c>
      <c r="E23" s="126">
        <v>400000</v>
      </c>
      <c r="F23" s="126">
        <v>400000</v>
      </c>
      <c r="G23" s="126">
        <v>400000</v>
      </c>
      <c r="H23" s="117" t="s">
        <v>220</v>
      </c>
      <c r="I23" s="117" t="s">
        <v>135</v>
      </c>
    </row>
    <row r="24" spans="1:9" s="27" customFormat="1" ht="14.5" x14ac:dyDescent="0.35">
      <c r="A24" s="117" t="s">
        <v>89</v>
      </c>
      <c r="B24" s="117" t="s">
        <v>222</v>
      </c>
      <c r="C24" s="118" t="s">
        <v>82</v>
      </c>
      <c r="D24" s="126">
        <v>10</v>
      </c>
      <c r="E24" s="126">
        <v>400000</v>
      </c>
      <c r="F24" s="126">
        <v>400000</v>
      </c>
      <c r="G24" s="126">
        <v>400000</v>
      </c>
      <c r="H24" s="117" t="s">
        <v>220</v>
      </c>
      <c r="I24" s="117" t="s">
        <v>155</v>
      </c>
    </row>
    <row r="25" spans="1:9" s="27" customFormat="1" ht="14.5" x14ac:dyDescent="0.35">
      <c r="A25" s="117" t="s">
        <v>89</v>
      </c>
      <c r="B25" s="117" t="s">
        <v>222</v>
      </c>
      <c r="C25" s="118" t="s">
        <v>66</v>
      </c>
      <c r="D25" s="126">
        <v>8</v>
      </c>
      <c r="E25" s="126">
        <v>360000</v>
      </c>
      <c r="F25" s="126">
        <v>360000</v>
      </c>
      <c r="G25" s="126">
        <v>360000</v>
      </c>
      <c r="H25" s="117" t="s">
        <v>220</v>
      </c>
      <c r="I25" s="117" t="s">
        <v>135</v>
      </c>
    </row>
    <row r="26" spans="1:9" s="27" customFormat="1" ht="14.5" x14ac:dyDescent="0.35">
      <c r="A26" s="117" t="s">
        <v>89</v>
      </c>
      <c r="B26" s="117" t="s">
        <v>222</v>
      </c>
      <c r="C26" s="118" t="s">
        <v>66</v>
      </c>
      <c r="D26" s="126">
        <v>12</v>
      </c>
      <c r="E26" s="126">
        <v>370000</v>
      </c>
      <c r="F26" s="126">
        <v>370000</v>
      </c>
      <c r="G26" s="126">
        <v>370000</v>
      </c>
      <c r="H26" s="117" t="s">
        <v>220</v>
      </c>
      <c r="I26" s="117" t="s">
        <v>155</v>
      </c>
    </row>
    <row r="27" spans="1:9" s="27" customFormat="1" ht="14.5" x14ac:dyDescent="0.35">
      <c r="A27" s="117" t="s">
        <v>89</v>
      </c>
      <c r="B27" s="117" t="s">
        <v>222</v>
      </c>
      <c r="C27" s="118" t="s">
        <v>57</v>
      </c>
      <c r="D27" s="126">
        <v>7</v>
      </c>
      <c r="E27" s="126">
        <v>310000</v>
      </c>
      <c r="F27" s="126">
        <v>310000</v>
      </c>
      <c r="G27" s="126">
        <v>310000</v>
      </c>
      <c r="H27" s="117" t="s">
        <v>220</v>
      </c>
      <c r="I27" s="117" t="s">
        <v>135</v>
      </c>
    </row>
    <row r="28" spans="1:9" s="27" customFormat="1" ht="14.5" x14ac:dyDescent="0.35">
      <c r="A28" s="117" t="s">
        <v>89</v>
      </c>
      <c r="B28" s="117" t="s">
        <v>222</v>
      </c>
      <c r="C28" s="118" t="s">
        <v>57</v>
      </c>
      <c r="D28" s="126">
        <v>10</v>
      </c>
      <c r="E28" s="126">
        <v>270000</v>
      </c>
      <c r="F28" s="126">
        <v>270000</v>
      </c>
      <c r="G28" s="126">
        <v>270000</v>
      </c>
      <c r="H28" s="117" t="s">
        <v>220</v>
      </c>
      <c r="I28" s="117" t="s">
        <v>155</v>
      </c>
    </row>
    <row r="29" spans="1:9" s="27" customFormat="1" ht="14.5" x14ac:dyDescent="0.35">
      <c r="A29" s="117" t="s">
        <v>89</v>
      </c>
      <c r="B29" s="117" t="s">
        <v>222</v>
      </c>
      <c r="C29" s="118" t="s">
        <v>68</v>
      </c>
      <c r="D29" s="126">
        <v>5</v>
      </c>
      <c r="E29" s="126">
        <v>220000</v>
      </c>
      <c r="F29" s="126">
        <v>220000</v>
      </c>
      <c r="G29" s="126">
        <v>220000</v>
      </c>
      <c r="H29" s="117" t="s">
        <v>220</v>
      </c>
      <c r="I29" s="117" t="s">
        <v>135</v>
      </c>
    </row>
    <row r="30" spans="1:9" s="27" customFormat="1" ht="14.5" x14ac:dyDescent="0.35">
      <c r="A30" s="117" t="s">
        <v>89</v>
      </c>
      <c r="B30" s="117" t="s">
        <v>223</v>
      </c>
      <c r="C30" s="118" t="s">
        <v>82</v>
      </c>
      <c r="D30" s="126">
        <v>6</v>
      </c>
      <c r="E30" s="126">
        <v>360000</v>
      </c>
      <c r="F30" s="126">
        <v>360000</v>
      </c>
      <c r="G30" s="126">
        <v>360000</v>
      </c>
      <c r="H30" s="117" t="s">
        <v>220</v>
      </c>
      <c r="I30" s="117" t="s">
        <v>224</v>
      </c>
    </row>
    <row r="31" spans="1:9" s="27" customFormat="1" ht="14.5" x14ac:dyDescent="0.35">
      <c r="A31" s="117" t="s">
        <v>89</v>
      </c>
      <c r="B31" s="117" t="s">
        <v>223</v>
      </c>
      <c r="C31" s="118" t="s">
        <v>66</v>
      </c>
      <c r="D31" s="126">
        <v>7</v>
      </c>
      <c r="E31" s="126">
        <v>310000</v>
      </c>
      <c r="F31" s="126">
        <v>310000</v>
      </c>
      <c r="G31" s="126">
        <v>310000</v>
      </c>
      <c r="H31" s="117" t="s">
        <v>220</v>
      </c>
      <c r="I31" s="117" t="s">
        <v>224</v>
      </c>
    </row>
    <row r="32" spans="1:9" s="27" customFormat="1" ht="14.5" x14ac:dyDescent="0.35">
      <c r="A32" s="117" t="s">
        <v>89</v>
      </c>
      <c r="B32" s="117" t="s">
        <v>223</v>
      </c>
      <c r="C32" s="118" t="s">
        <v>57</v>
      </c>
      <c r="D32" s="126">
        <v>6</v>
      </c>
      <c r="E32" s="126">
        <v>220000</v>
      </c>
      <c r="F32" s="126">
        <v>220000</v>
      </c>
      <c r="G32" s="126">
        <v>220000</v>
      </c>
      <c r="H32" s="117" t="s">
        <v>220</v>
      </c>
      <c r="I32" s="117" t="s">
        <v>224</v>
      </c>
    </row>
    <row r="33" spans="1:9" s="27" customFormat="1" ht="14.5" x14ac:dyDescent="0.35">
      <c r="A33" s="117" t="s">
        <v>89</v>
      </c>
      <c r="B33" s="117" t="s">
        <v>223</v>
      </c>
      <c r="C33" s="118" t="s">
        <v>68</v>
      </c>
      <c r="D33" s="126">
        <v>3</v>
      </c>
      <c r="E33" s="126">
        <v>150000</v>
      </c>
      <c r="F33" s="126">
        <v>150000</v>
      </c>
      <c r="G33" s="126">
        <v>150000</v>
      </c>
      <c r="H33" s="117" t="s">
        <v>220</v>
      </c>
      <c r="I33" s="117" t="s">
        <v>224</v>
      </c>
    </row>
    <row r="34" spans="1:9" s="27" customFormat="1" ht="14.5" x14ac:dyDescent="0.35">
      <c r="A34" s="117" t="s">
        <v>92</v>
      </c>
      <c r="B34" s="117" t="s">
        <v>65</v>
      </c>
      <c r="C34" s="118" t="s">
        <v>82</v>
      </c>
      <c r="D34" s="126">
        <v>684</v>
      </c>
      <c r="E34" s="126">
        <v>12000</v>
      </c>
      <c r="F34" s="126">
        <v>11000</v>
      </c>
      <c r="G34" s="126">
        <v>11667</v>
      </c>
      <c r="H34" s="117" t="s">
        <v>93</v>
      </c>
      <c r="I34" s="117" t="s">
        <v>94</v>
      </c>
    </row>
    <row r="35" spans="1:9" s="27" customFormat="1" ht="14.5" x14ac:dyDescent="0.35">
      <c r="A35" s="117" t="s">
        <v>92</v>
      </c>
      <c r="B35" s="117" t="s">
        <v>65</v>
      </c>
      <c r="C35" s="118" t="s">
        <v>66</v>
      </c>
      <c r="D35" s="126">
        <v>684</v>
      </c>
      <c r="E35" s="126">
        <v>12000</v>
      </c>
      <c r="F35" s="126">
        <v>11000</v>
      </c>
      <c r="G35" s="126">
        <v>11667</v>
      </c>
      <c r="H35" s="117" t="s">
        <v>93</v>
      </c>
      <c r="I35" s="117" t="s">
        <v>94</v>
      </c>
    </row>
    <row r="36" spans="1:9" s="27" customFormat="1" ht="14.5" x14ac:dyDescent="0.35">
      <c r="A36" s="117" t="s">
        <v>92</v>
      </c>
      <c r="B36" s="117" t="s">
        <v>65</v>
      </c>
      <c r="C36" s="118" t="s">
        <v>57</v>
      </c>
      <c r="D36" s="126">
        <v>456</v>
      </c>
      <c r="E36" s="126">
        <v>12000</v>
      </c>
      <c r="F36" s="126">
        <v>11000</v>
      </c>
      <c r="G36" s="126">
        <v>11500</v>
      </c>
      <c r="H36" s="117" t="s">
        <v>93</v>
      </c>
      <c r="I36" s="117" t="s">
        <v>94</v>
      </c>
    </row>
    <row r="37" spans="1:9" s="27" customFormat="1" ht="14.5" x14ac:dyDescent="0.35">
      <c r="A37" s="117" t="s">
        <v>95</v>
      </c>
      <c r="B37" s="117" t="s">
        <v>96</v>
      </c>
      <c r="C37" s="118" t="s">
        <v>225</v>
      </c>
      <c r="D37" s="126">
        <v>100</v>
      </c>
      <c r="E37" s="126">
        <v>17000</v>
      </c>
      <c r="F37" s="126">
        <v>17000</v>
      </c>
      <c r="G37" s="126">
        <v>17000</v>
      </c>
      <c r="H37" s="117" t="s">
        <v>98</v>
      </c>
      <c r="I37" s="117" t="s">
        <v>99</v>
      </c>
    </row>
    <row r="38" spans="1:9" s="27" customFormat="1" ht="14.5" x14ac:dyDescent="0.35">
      <c r="A38" s="117" t="s">
        <v>95</v>
      </c>
      <c r="B38" s="117" t="s">
        <v>96</v>
      </c>
      <c r="C38" s="118" t="s">
        <v>97</v>
      </c>
      <c r="D38" s="126">
        <v>120</v>
      </c>
      <c r="E38" s="126">
        <v>18000</v>
      </c>
      <c r="F38" s="126">
        <v>18000</v>
      </c>
      <c r="G38" s="126">
        <v>18000</v>
      </c>
      <c r="H38" s="117" t="s">
        <v>98</v>
      </c>
      <c r="I38" s="117" t="s">
        <v>99</v>
      </c>
    </row>
    <row r="39" spans="1:9" s="27" customFormat="1" ht="14.5" x14ac:dyDescent="0.35">
      <c r="A39" s="117" t="s">
        <v>95</v>
      </c>
      <c r="B39" s="117" t="s">
        <v>96</v>
      </c>
      <c r="C39" s="118" t="s">
        <v>82</v>
      </c>
      <c r="D39" s="126">
        <v>6</v>
      </c>
      <c r="E39" s="126">
        <v>280000</v>
      </c>
      <c r="F39" s="126">
        <v>280000</v>
      </c>
      <c r="G39" s="126">
        <v>280000</v>
      </c>
      <c r="H39" s="117" t="s">
        <v>226</v>
      </c>
      <c r="I39" s="117" t="s">
        <v>84</v>
      </c>
    </row>
    <row r="40" spans="1:9" s="27" customFormat="1" ht="14.5" x14ac:dyDescent="0.35">
      <c r="A40" s="117" t="s">
        <v>95</v>
      </c>
      <c r="B40" s="117" t="s">
        <v>96</v>
      </c>
      <c r="C40" s="118" t="s">
        <v>82</v>
      </c>
      <c r="D40" s="126">
        <v>20</v>
      </c>
      <c r="E40" s="126">
        <v>280000</v>
      </c>
      <c r="F40" s="126">
        <v>280000</v>
      </c>
      <c r="G40" s="126">
        <v>280000</v>
      </c>
      <c r="H40" s="117" t="s">
        <v>226</v>
      </c>
      <c r="I40" s="117" t="s">
        <v>99</v>
      </c>
    </row>
    <row r="41" spans="1:9" s="27" customFormat="1" ht="14.5" x14ac:dyDescent="0.35">
      <c r="A41" s="117" t="s">
        <v>95</v>
      </c>
      <c r="B41" s="117" t="s">
        <v>96</v>
      </c>
      <c r="C41" s="118" t="s">
        <v>102</v>
      </c>
      <c r="D41" s="126">
        <v>5</v>
      </c>
      <c r="E41" s="126">
        <v>320000</v>
      </c>
      <c r="F41" s="126">
        <v>320000</v>
      </c>
      <c r="G41" s="126">
        <v>320000</v>
      </c>
      <c r="H41" s="117" t="s">
        <v>226</v>
      </c>
      <c r="I41" s="117" t="s">
        <v>84</v>
      </c>
    </row>
    <row r="42" spans="1:9" s="27" customFormat="1" ht="14.5" x14ac:dyDescent="0.35">
      <c r="A42" s="117" t="s">
        <v>95</v>
      </c>
      <c r="B42" s="117" t="s">
        <v>96</v>
      </c>
      <c r="C42" s="118" t="s">
        <v>102</v>
      </c>
      <c r="D42" s="126">
        <v>5</v>
      </c>
      <c r="E42" s="126">
        <v>320000</v>
      </c>
      <c r="F42" s="126">
        <v>320000</v>
      </c>
      <c r="G42" s="126">
        <v>320000</v>
      </c>
      <c r="H42" s="117" t="s">
        <v>226</v>
      </c>
      <c r="I42" s="117" t="s">
        <v>99</v>
      </c>
    </row>
    <row r="43" spans="1:9" s="27" customFormat="1" ht="14.5" x14ac:dyDescent="0.35">
      <c r="A43" s="117" t="s">
        <v>95</v>
      </c>
      <c r="B43" s="117" t="s">
        <v>96</v>
      </c>
      <c r="C43" s="118" t="s">
        <v>66</v>
      </c>
      <c r="D43" s="126">
        <v>7</v>
      </c>
      <c r="E43" s="126">
        <v>250000</v>
      </c>
      <c r="F43" s="126">
        <v>250000</v>
      </c>
      <c r="G43" s="126">
        <v>250000</v>
      </c>
      <c r="H43" s="117" t="s">
        <v>226</v>
      </c>
      <c r="I43" s="117" t="s">
        <v>84</v>
      </c>
    </row>
    <row r="44" spans="1:9" s="27" customFormat="1" ht="14.5" x14ac:dyDescent="0.35">
      <c r="A44" s="117" t="s">
        <v>95</v>
      </c>
      <c r="B44" s="117" t="s">
        <v>96</v>
      </c>
      <c r="C44" s="118" t="s">
        <v>66</v>
      </c>
      <c r="D44" s="126">
        <v>25</v>
      </c>
      <c r="E44" s="126">
        <v>250000</v>
      </c>
      <c r="F44" s="126">
        <v>240000</v>
      </c>
      <c r="G44" s="126">
        <v>246000</v>
      </c>
      <c r="H44" s="117" t="s">
        <v>226</v>
      </c>
      <c r="I44" s="117" t="s">
        <v>99</v>
      </c>
    </row>
    <row r="45" spans="1:9" s="27" customFormat="1" ht="14.5" x14ac:dyDescent="0.35">
      <c r="A45" s="117" t="s">
        <v>95</v>
      </c>
      <c r="B45" s="117" t="s">
        <v>96</v>
      </c>
      <c r="C45" s="118" t="s">
        <v>57</v>
      </c>
      <c r="D45" s="126">
        <v>19</v>
      </c>
      <c r="E45" s="126">
        <v>220000</v>
      </c>
      <c r="F45" s="126">
        <v>220000</v>
      </c>
      <c r="G45" s="126">
        <v>220000</v>
      </c>
      <c r="H45" s="117" t="s">
        <v>226</v>
      </c>
      <c r="I45" s="117" t="s">
        <v>99</v>
      </c>
    </row>
    <row r="46" spans="1:9" s="27" customFormat="1" ht="14.5" x14ac:dyDescent="0.35">
      <c r="A46" s="117" t="s">
        <v>95</v>
      </c>
      <c r="B46" s="117" t="s">
        <v>103</v>
      </c>
      <c r="C46" s="118" t="s">
        <v>225</v>
      </c>
      <c r="D46" s="126">
        <v>70</v>
      </c>
      <c r="E46" s="126">
        <v>16000</v>
      </c>
      <c r="F46" s="126">
        <v>16000</v>
      </c>
      <c r="G46" s="126">
        <v>16000</v>
      </c>
      <c r="H46" s="117" t="s">
        <v>98</v>
      </c>
      <c r="I46" s="117" t="s">
        <v>99</v>
      </c>
    </row>
    <row r="47" spans="1:9" s="27" customFormat="1" ht="14.5" x14ac:dyDescent="0.35">
      <c r="A47" s="117" t="s">
        <v>95</v>
      </c>
      <c r="B47" s="117" t="s">
        <v>103</v>
      </c>
      <c r="C47" s="118" t="s">
        <v>97</v>
      </c>
      <c r="D47" s="126">
        <v>85</v>
      </c>
      <c r="E47" s="126">
        <v>17000</v>
      </c>
      <c r="F47" s="126">
        <v>17000</v>
      </c>
      <c r="G47" s="126">
        <v>17000</v>
      </c>
      <c r="H47" s="117" t="s">
        <v>98</v>
      </c>
      <c r="I47" s="117" t="s">
        <v>99</v>
      </c>
    </row>
    <row r="48" spans="1:9" s="27" customFormat="1" ht="14.5" x14ac:dyDescent="0.35">
      <c r="A48" s="117" t="s">
        <v>95</v>
      </c>
      <c r="B48" s="117" t="s">
        <v>103</v>
      </c>
      <c r="C48" s="118" t="s">
        <v>82</v>
      </c>
      <c r="D48" s="126">
        <v>6</v>
      </c>
      <c r="E48" s="126">
        <v>260000</v>
      </c>
      <c r="F48" s="126">
        <v>260000</v>
      </c>
      <c r="G48" s="126">
        <v>260000</v>
      </c>
      <c r="H48" s="117" t="s">
        <v>226</v>
      </c>
      <c r="I48" s="117" t="s">
        <v>84</v>
      </c>
    </row>
    <row r="49" spans="1:9" s="27" customFormat="1" ht="14.5" x14ac:dyDescent="0.35">
      <c r="A49" s="117" t="s">
        <v>95</v>
      </c>
      <c r="B49" s="117" t="s">
        <v>103</v>
      </c>
      <c r="C49" s="118" t="s">
        <v>82</v>
      </c>
      <c r="D49" s="126">
        <v>9</v>
      </c>
      <c r="E49" s="126">
        <v>260000</v>
      </c>
      <c r="F49" s="126">
        <v>250000</v>
      </c>
      <c r="G49" s="126">
        <v>254444</v>
      </c>
      <c r="H49" s="117" t="s">
        <v>226</v>
      </c>
      <c r="I49" s="117" t="s">
        <v>99</v>
      </c>
    </row>
    <row r="50" spans="1:9" s="27" customFormat="1" ht="14.5" x14ac:dyDescent="0.35">
      <c r="A50" s="117" t="s">
        <v>95</v>
      </c>
      <c r="B50" s="117" t="s">
        <v>103</v>
      </c>
      <c r="C50" s="118" t="s">
        <v>66</v>
      </c>
      <c r="D50" s="126">
        <v>9</v>
      </c>
      <c r="E50" s="126">
        <v>240000</v>
      </c>
      <c r="F50" s="126">
        <v>240000</v>
      </c>
      <c r="G50" s="126">
        <v>240000</v>
      </c>
      <c r="H50" s="117" t="s">
        <v>226</v>
      </c>
      <c r="I50" s="117" t="s">
        <v>84</v>
      </c>
    </row>
    <row r="51" spans="1:9" s="27" customFormat="1" ht="14.5" x14ac:dyDescent="0.35">
      <c r="A51" s="117" t="s">
        <v>95</v>
      </c>
      <c r="B51" s="117" t="s">
        <v>103</v>
      </c>
      <c r="C51" s="118" t="s">
        <v>66</v>
      </c>
      <c r="D51" s="126">
        <v>18</v>
      </c>
      <c r="E51" s="126">
        <v>240000</v>
      </c>
      <c r="F51" s="126">
        <v>230000</v>
      </c>
      <c r="G51" s="126">
        <v>235556</v>
      </c>
      <c r="H51" s="117" t="s">
        <v>226</v>
      </c>
      <c r="I51" s="117" t="s">
        <v>99</v>
      </c>
    </row>
    <row r="52" spans="1:9" s="27" customFormat="1" ht="14.5" x14ac:dyDescent="0.35">
      <c r="A52" s="117" t="s">
        <v>95</v>
      </c>
      <c r="B52" s="117" t="s">
        <v>103</v>
      </c>
      <c r="C52" s="118" t="s">
        <v>57</v>
      </c>
      <c r="D52" s="126">
        <v>8</v>
      </c>
      <c r="E52" s="126">
        <v>220000</v>
      </c>
      <c r="F52" s="126">
        <v>220000</v>
      </c>
      <c r="G52" s="126">
        <v>220000</v>
      </c>
      <c r="H52" s="117" t="s">
        <v>226</v>
      </c>
      <c r="I52" s="117" t="s">
        <v>84</v>
      </c>
    </row>
    <row r="53" spans="1:9" s="27" customFormat="1" ht="14.5" x14ac:dyDescent="0.35">
      <c r="A53" s="117" t="s">
        <v>95</v>
      </c>
      <c r="B53" s="117" t="s">
        <v>103</v>
      </c>
      <c r="C53" s="118" t="s">
        <v>57</v>
      </c>
      <c r="D53" s="126">
        <v>19</v>
      </c>
      <c r="E53" s="126">
        <v>210000</v>
      </c>
      <c r="F53" s="126">
        <v>200000</v>
      </c>
      <c r="G53" s="126">
        <v>206316</v>
      </c>
      <c r="H53" s="117" t="s">
        <v>226</v>
      </c>
      <c r="I53" s="117" t="s">
        <v>99</v>
      </c>
    </row>
    <row r="54" spans="1:9" s="27" customFormat="1" ht="14.5" x14ac:dyDescent="0.35">
      <c r="A54" s="117" t="s">
        <v>95</v>
      </c>
      <c r="B54" s="117" t="s">
        <v>104</v>
      </c>
      <c r="C54" s="118" t="s">
        <v>82</v>
      </c>
      <c r="D54" s="126">
        <v>6</v>
      </c>
      <c r="E54" s="126">
        <v>250000</v>
      </c>
      <c r="F54" s="126">
        <v>250000</v>
      </c>
      <c r="G54" s="126">
        <v>250000</v>
      </c>
      <c r="H54" s="117" t="s">
        <v>226</v>
      </c>
      <c r="I54" s="117" t="s">
        <v>99</v>
      </c>
    </row>
    <row r="55" spans="1:9" s="27" customFormat="1" ht="14.5" x14ac:dyDescent="0.35">
      <c r="A55" s="117" t="s">
        <v>95</v>
      </c>
      <c r="B55" s="117" t="s">
        <v>104</v>
      </c>
      <c r="C55" s="118" t="s">
        <v>66</v>
      </c>
      <c r="D55" s="126">
        <v>8</v>
      </c>
      <c r="E55" s="126">
        <v>230000</v>
      </c>
      <c r="F55" s="126">
        <v>230000</v>
      </c>
      <c r="G55" s="126">
        <v>230000</v>
      </c>
      <c r="H55" s="117" t="s">
        <v>226</v>
      </c>
      <c r="I55" s="117" t="s">
        <v>99</v>
      </c>
    </row>
    <row r="56" spans="1:9" s="27" customFormat="1" ht="14.5" x14ac:dyDescent="0.35">
      <c r="A56" s="117" t="s">
        <v>95</v>
      </c>
      <c r="B56" s="117" t="s">
        <v>227</v>
      </c>
      <c r="C56" s="118" t="s">
        <v>82</v>
      </c>
      <c r="D56" s="126">
        <v>13</v>
      </c>
      <c r="E56" s="126">
        <v>260000</v>
      </c>
      <c r="F56" s="126">
        <v>240000</v>
      </c>
      <c r="G56" s="126">
        <v>247692</v>
      </c>
      <c r="H56" s="117" t="s">
        <v>226</v>
      </c>
      <c r="I56" s="117" t="s">
        <v>99</v>
      </c>
    </row>
    <row r="57" spans="1:9" s="27" customFormat="1" ht="14.5" x14ac:dyDescent="0.35">
      <c r="A57" s="117" t="s">
        <v>95</v>
      </c>
      <c r="B57" s="117" t="s">
        <v>227</v>
      </c>
      <c r="C57" s="118" t="s">
        <v>66</v>
      </c>
      <c r="D57" s="126">
        <v>19</v>
      </c>
      <c r="E57" s="126">
        <v>230000</v>
      </c>
      <c r="F57" s="126">
        <v>220000</v>
      </c>
      <c r="G57" s="126">
        <v>224737</v>
      </c>
      <c r="H57" s="117" t="s">
        <v>226</v>
      </c>
      <c r="I57" s="117" t="s">
        <v>99</v>
      </c>
    </row>
    <row r="58" spans="1:9" s="27" customFormat="1" ht="14.5" x14ac:dyDescent="0.35">
      <c r="A58" s="117" t="s">
        <v>105</v>
      </c>
      <c r="B58" s="117" t="s">
        <v>208</v>
      </c>
      <c r="C58" s="118" t="s">
        <v>82</v>
      </c>
      <c r="D58" s="126">
        <v>12</v>
      </c>
      <c r="E58" s="126">
        <v>170000</v>
      </c>
      <c r="F58" s="126">
        <v>170000</v>
      </c>
      <c r="G58" s="126">
        <v>170000</v>
      </c>
      <c r="H58" s="117" t="s">
        <v>226</v>
      </c>
      <c r="I58" s="117" t="s">
        <v>155</v>
      </c>
    </row>
    <row r="59" spans="1:9" s="27" customFormat="1" ht="14.5" x14ac:dyDescent="0.35">
      <c r="A59" s="117" t="s">
        <v>105</v>
      </c>
      <c r="B59" s="117" t="s">
        <v>208</v>
      </c>
      <c r="C59" s="118" t="s">
        <v>82</v>
      </c>
      <c r="D59" s="126">
        <v>6</v>
      </c>
      <c r="E59" s="126">
        <v>170000</v>
      </c>
      <c r="F59" s="126">
        <v>170000</v>
      </c>
      <c r="G59" s="126">
        <v>170000</v>
      </c>
      <c r="H59" s="117" t="s">
        <v>226</v>
      </c>
      <c r="I59" s="117" t="s">
        <v>99</v>
      </c>
    </row>
    <row r="60" spans="1:9" s="27" customFormat="1" ht="14.5" x14ac:dyDescent="0.35">
      <c r="A60" s="117" t="s">
        <v>105</v>
      </c>
      <c r="B60" s="117" t="s">
        <v>208</v>
      </c>
      <c r="C60" s="118" t="s">
        <v>66</v>
      </c>
      <c r="D60" s="126">
        <v>14</v>
      </c>
      <c r="E60" s="126">
        <v>140000</v>
      </c>
      <c r="F60" s="126">
        <v>140000</v>
      </c>
      <c r="G60" s="126">
        <v>140000</v>
      </c>
      <c r="H60" s="117" t="s">
        <v>226</v>
      </c>
      <c r="I60" s="117" t="s">
        <v>155</v>
      </c>
    </row>
    <row r="61" spans="1:9" s="27" customFormat="1" ht="14.5" x14ac:dyDescent="0.35">
      <c r="A61" s="117" t="s">
        <v>105</v>
      </c>
      <c r="B61" s="117" t="s">
        <v>208</v>
      </c>
      <c r="C61" s="118" t="s">
        <v>66</v>
      </c>
      <c r="D61" s="126">
        <v>8</v>
      </c>
      <c r="E61" s="126">
        <v>150000</v>
      </c>
      <c r="F61" s="126">
        <v>150000</v>
      </c>
      <c r="G61" s="126">
        <v>150000</v>
      </c>
      <c r="H61" s="117" t="s">
        <v>226</v>
      </c>
      <c r="I61" s="117" t="s">
        <v>99</v>
      </c>
    </row>
    <row r="62" spans="1:9" s="27" customFormat="1" ht="14.5" x14ac:dyDescent="0.35">
      <c r="A62" s="117" t="s">
        <v>105</v>
      </c>
      <c r="B62" s="117" t="s">
        <v>108</v>
      </c>
      <c r="C62" s="118" t="s">
        <v>82</v>
      </c>
      <c r="D62" s="126">
        <v>5</v>
      </c>
      <c r="E62" s="126">
        <v>170000</v>
      </c>
      <c r="F62" s="126">
        <v>170000</v>
      </c>
      <c r="G62" s="126">
        <v>170000</v>
      </c>
      <c r="H62" s="117" t="s">
        <v>226</v>
      </c>
      <c r="I62" s="117" t="s">
        <v>143</v>
      </c>
    </row>
    <row r="63" spans="1:9" s="27" customFormat="1" ht="14.5" x14ac:dyDescent="0.35">
      <c r="A63" s="117" t="s">
        <v>105</v>
      </c>
      <c r="B63" s="117" t="s">
        <v>108</v>
      </c>
      <c r="C63" s="118" t="s">
        <v>82</v>
      </c>
      <c r="D63" s="126">
        <v>17</v>
      </c>
      <c r="E63" s="126">
        <v>170000</v>
      </c>
      <c r="F63" s="126">
        <v>170000</v>
      </c>
      <c r="G63" s="126">
        <v>170000</v>
      </c>
      <c r="H63" s="117" t="s">
        <v>226</v>
      </c>
      <c r="I63" s="117" t="s">
        <v>99</v>
      </c>
    </row>
    <row r="64" spans="1:9" s="27" customFormat="1" ht="14.5" x14ac:dyDescent="0.35">
      <c r="A64" s="117" t="s">
        <v>105</v>
      </c>
      <c r="B64" s="117" t="s">
        <v>108</v>
      </c>
      <c r="C64" s="118" t="s">
        <v>66</v>
      </c>
      <c r="D64" s="126">
        <v>10</v>
      </c>
      <c r="E64" s="126">
        <v>150000</v>
      </c>
      <c r="F64" s="126">
        <v>150000</v>
      </c>
      <c r="G64" s="126">
        <v>150000</v>
      </c>
      <c r="H64" s="117" t="s">
        <v>226</v>
      </c>
      <c r="I64" s="117" t="s">
        <v>143</v>
      </c>
    </row>
    <row r="65" spans="1:9" s="27" customFormat="1" ht="14.5" x14ac:dyDescent="0.35">
      <c r="A65" s="117" t="s">
        <v>105</v>
      </c>
      <c r="B65" s="117" t="s">
        <v>108</v>
      </c>
      <c r="C65" s="118" t="s">
        <v>66</v>
      </c>
      <c r="D65" s="126">
        <v>21</v>
      </c>
      <c r="E65" s="126">
        <v>150000</v>
      </c>
      <c r="F65" s="126">
        <v>150000</v>
      </c>
      <c r="G65" s="126">
        <v>150000</v>
      </c>
      <c r="H65" s="117" t="s">
        <v>226</v>
      </c>
      <c r="I65" s="117" t="s">
        <v>99</v>
      </c>
    </row>
    <row r="66" spans="1:9" s="27" customFormat="1" ht="14.5" x14ac:dyDescent="0.35">
      <c r="A66" s="117" t="s">
        <v>105</v>
      </c>
      <c r="B66" s="117" t="s">
        <v>108</v>
      </c>
      <c r="C66" s="118" t="s">
        <v>57</v>
      </c>
      <c r="D66" s="126">
        <v>6</v>
      </c>
      <c r="E66" s="126">
        <v>120000</v>
      </c>
      <c r="F66" s="126">
        <v>120000</v>
      </c>
      <c r="G66" s="126">
        <v>120000</v>
      </c>
      <c r="H66" s="117" t="s">
        <v>226</v>
      </c>
      <c r="I66" s="117" t="s">
        <v>143</v>
      </c>
    </row>
    <row r="67" spans="1:9" s="27" customFormat="1" ht="14.5" x14ac:dyDescent="0.35">
      <c r="A67" s="117" t="s">
        <v>105</v>
      </c>
      <c r="B67" s="117" t="s">
        <v>108</v>
      </c>
      <c r="C67" s="118" t="s">
        <v>57</v>
      </c>
      <c r="D67" s="126">
        <v>21</v>
      </c>
      <c r="E67" s="126">
        <v>120000</v>
      </c>
      <c r="F67" s="126">
        <v>120000</v>
      </c>
      <c r="G67" s="126">
        <v>120000</v>
      </c>
      <c r="H67" s="117" t="s">
        <v>226</v>
      </c>
      <c r="I67" s="117" t="s">
        <v>99</v>
      </c>
    </row>
    <row r="68" spans="1:9" s="27" customFormat="1" ht="14.5" x14ac:dyDescent="0.35">
      <c r="A68" s="117" t="s">
        <v>109</v>
      </c>
      <c r="B68" s="117" t="s">
        <v>228</v>
      </c>
      <c r="C68" s="118" t="s">
        <v>82</v>
      </c>
      <c r="D68" s="126">
        <v>120</v>
      </c>
      <c r="E68" s="126">
        <v>2800</v>
      </c>
      <c r="F68" s="126">
        <v>2800</v>
      </c>
      <c r="G68" s="126">
        <v>2800</v>
      </c>
      <c r="H68" s="117" t="s">
        <v>210</v>
      </c>
      <c r="I68" s="117" t="s">
        <v>87</v>
      </c>
    </row>
    <row r="69" spans="1:9" s="27" customFormat="1" ht="14.5" x14ac:dyDescent="0.35">
      <c r="A69" s="117" t="s">
        <v>109</v>
      </c>
      <c r="B69" s="117" t="s">
        <v>228</v>
      </c>
      <c r="C69" s="118" t="s">
        <v>102</v>
      </c>
      <c r="D69" s="126">
        <v>80</v>
      </c>
      <c r="E69" s="126">
        <v>3000</v>
      </c>
      <c r="F69" s="126">
        <v>3000</v>
      </c>
      <c r="G69" s="126">
        <v>3000</v>
      </c>
      <c r="H69" s="117" t="s">
        <v>210</v>
      </c>
      <c r="I69" s="117" t="s">
        <v>87</v>
      </c>
    </row>
    <row r="70" spans="1:9" s="27" customFormat="1" ht="14.5" x14ac:dyDescent="0.35">
      <c r="A70" s="117" t="s">
        <v>109</v>
      </c>
      <c r="B70" s="117" t="s">
        <v>228</v>
      </c>
      <c r="C70" s="118" t="s">
        <v>66</v>
      </c>
      <c r="D70" s="126">
        <v>100</v>
      </c>
      <c r="E70" s="126">
        <v>2500</v>
      </c>
      <c r="F70" s="126">
        <v>2500</v>
      </c>
      <c r="G70" s="126">
        <v>2500</v>
      </c>
      <c r="H70" s="117" t="s">
        <v>210</v>
      </c>
      <c r="I70" s="117" t="s">
        <v>87</v>
      </c>
    </row>
    <row r="71" spans="1:9" s="27" customFormat="1" ht="14.5" x14ac:dyDescent="0.35">
      <c r="A71" s="117" t="s">
        <v>109</v>
      </c>
      <c r="B71" s="117" t="s">
        <v>228</v>
      </c>
      <c r="C71" s="118" t="s">
        <v>57</v>
      </c>
      <c r="D71" s="126">
        <v>95</v>
      </c>
      <c r="E71" s="126">
        <v>2200</v>
      </c>
      <c r="F71" s="126">
        <v>2200</v>
      </c>
      <c r="G71" s="126">
        <v>2200</v>
      </c>
      <c r="H71" s="117" t="s">
        <v>210</v>
      </c>
      <c r="I71" s="117" t="s">
        <v>87</v>
      </c>
    </row>
    <row r="72" spans="1:9" s="27" customFormat="1" ht="14.5" x14ac:dyDescent="0.35">
      <c r="A72" s="117" t="s">
        <v>109</v>
      </c>
      <c r="B72" s="117" t="s">
        <v>228</v>
      </c>
      <c r="C72" s="118" t="s">
        <v>68</v>
      </c>
      <c r="D72" s="126">
        <v>85</v>
      </c>
      <c r="E72" s="126">
        <v>2000</v>
      </c>
      <c r="F72" s="126">
        <v>2000</v>
      </c>
      <c r="G72" s="126">
        <v>2000</v>
      </c>
      <c r="H72" s="117" t="s">
        <v>210</v>
      </c>
      <c r="I72" s="117" t="s">
        <v>87</v>
      </c>
    </row>
    <row r="73" spans="1:9" s="27" customFormat="1" ht="14.5" x14ac:dyDescent="0.35">
      <c r="A73" s="117" t="s">
        <v>109</v>
      </c>
      <c r="B73" s="117" t="s">
        <v>110</v>
      </c>
      <c r="C73" s="118" t="s">
        <v>82</v>
      </c>
      <c r="D73" s="126">
        <v>200</v>
      </c>
      <c r="E73" s="126">
        <v>31000</v>
      </c>
      <c r="F73" s="126">
        <v>31000</v>
      </c>
      <c r="G73" s="126">
        <v>31000</v>
      </c>
      <c r="H73" s="117" t="s">
        <v>83</v>
      </c>
      <c r="I73" s="117" t="s">
        <v>59</v>
      </c>
    </row>
    <row r="74" spans="1:9" s="27" customFormat="1" ht="14.5" x14ac:dyDescent="0.35">
      <c r="A74" s="117" t="s">
        <v>109</v>
      </c>
      <c r="B74" s="117" t="s">
        <v>110</v>
      </c>
      <c r="C74" s="118" t="s">
        <v>102</v>
      </c>
      <c r="D74" s="126">
        <v>180</v>
      </c>
      <c r="E74" s="126">
        <v>34000</v>
      </c>
      <c r="F74" s="126">
        <v>34000</v>
      </c>
      <c r="G74" s="126">
        <v>34000</v>
      </c>
      <c r="H74" s="117" t="s">
        <v>83</v>
      </c>
      <c r="I74" s="117" t="s">
        <v>59</v>
      </c>
    </row>
    <row r="75" spans="1:9" s="27" customFormat="1" ht="14.5" x14ac:dyDescent="0.35">
      <c r="A75" s="117" t="s">
        <v>109</v>
      </c>
      <c r="B75" s="117" t="s">
        <v>110</v>
      </c>
      <c r="C75" s="118" t="s">
        <v>66</v>
      </c>
      <c r="D75" s="126">
        <v>220</v>
      </c>
      <c r="E75" s="126">
        <v>28000</v>
      </c>
      <c r="F75" s="126">
        <v>28000</v>
      </c>
      <c r="G75" s="126">
        <v>28000</v>
      </c>
      <c r="H75" s="117" t="s">
        <v>83</v>
      </c>
      <c r="I75" s="117" t="s">
        <v>59</v>
      </c>
    </row>
    <row r="76" spans="1:9" s="27" customFormat="1" ht="14.5" x14ac:dyDescent="0.35">
      <c r="A76" s="117" t="s">
        <v>109</v>
      </c>
      <c r="B76" s="117" t="s">
        <v>110</v>
      </c>
      <c r="C76" s="118" t="s">
        <v>57</v>
      </c>
      <c r="D76" s="126">
        <v>250</v>
      </c>
      <c r="E76" s="126">
        <v>25000</v>
      </c>
      <c r="F76" s="126">
        <v>25000</v>
      </c>
      <c r="G76" s="126">
        <v>25000</v>
      </c>
      <c r="H76" s="117" t="s">
        <v>83</v>
      </c>
      <c r="I76" s="117" t="s">
        <v>59</v>
      </c>
    </row>
    <row r="77" spans="1:9" s="27" customFormat="1" ht="14.5" x14ac:dyDescent="0.35">
      <c r="A77" s="117" t="s">
        <v>109</v>
      </c>
      <c r="B77" s="117" t="s">
        <v>110</v>
      </c>
      <c r="C77" s="118" t="s">
        <v>68</v>
      </c>
      <c r="D77" s="126">
        <v>180</v>
      </c>
      <c r="E77" s="126">
        <v>22000</v>
      </c>
      <c r="F77" s="126">
        <v>22000</v>
      </c>
      <c r="G77" s="126">
        <v>22000</v>
      </c>
      <c r="H77" s="117" t="s">
        <v>83</v>
      </c>
      <c r="I77" s="117" t="s">
        <v>59</v>
      </c>
    </row>
    <row r="78" spans="1:9" s="27" customFormat="1" ht="14.5" x14ac:dyDescent="0.35">
      <c r="A78" s="117" t="s">
        <v>109</v>
      </c>
      <c r="B78" s="117" t="s">
        <v>209</v>
      </c>
      <c r="C78" s="118" t="s">
        <v>82</v>
      </c>
      <c r="D78" s="126">
        <v>120</v>
      </c>
      <c r="E78" s="126">
        <v>1800</v>
      </c>
      <c r="F78" s="126">
        <v>1800</v>
      </c>
      <c r="G78" s="126">
        <v>1800</v>
      </c>
      <c r="H78" s="117" t="s">
        <v>210</v>
      </c>
      <c r="I78" s="117" t="s">
        <v>143</v>
      </c>
    </row>
    <row r="79" spans="1:9" s="27" customFormat="1" ht="14.5" x14ac:dyDescent="0.35">
      <c r="A79" s="117" t="s">
        <v>109</v>
      </c>
      <c r="B79" s="117" t="s">
        <v>209</v>
      </c>
      <c r="C79" s="118" t="s">
        <v>102</v>
      </c>
      <c r="D79" s="126">
        <v>80</v>
      </c>
      <c r="E79" s="126">
        <v>2000</v>
      </c>
      <c r="F79" s="126">
        <v>2000</v>
      </c>
      <c r="G79" s="126">
        <v>2000</v>
      </c>
      <c r="H79" s="117" t="s">
        <v>210</v>
      </c>
      <c r="I79" s="117" t="s">
        <v>143</v>
      </c>
    </row>
    <row r="80" spans="1:9" s="27" customFormat="1" ht="14.5" x14ac:dyDescent="0.35">
      <c r="A80" s="117" t="s">
        <v>109</v>
      </c>
      <c r="B80" s="117" t="s">
        <v>209</v>
      </c>
      <c r="C80" s="118" t="s">
        <v>66</v>
      </c>
      <c r="D80" s="126">
        <v>180</v>
      </c>
      <c r="E80" s="126">
        <v>1500</v>
      </c>
      <c r="F80" s="126">
        <v>1500</v>
      </c>
      <c r="G80" s="126">
        <v>1500</v>
      </c>
      <c r="H80" s="117" t="s">
        <v>210</v>
      </c>
      <c r="I80" s="117" t="s">
        <v>143</v>
      </c>
    </row>
    <row r="81" spans="1:9" s="27" customFormat="1" ht="14.5" x14ac:dyDescent="0.35">
      <c r="A81" s="117" t="s">
        <v>109</v>
      </c>
      <c r="B81" s="117" t="s">
        <v>209</v>
      </c>
      <c r="C81" s="118" t="s">
        <v>57</v>
      </c>
      <c r="D81" s="126">
        <v>100</v>
      </c>
      <c r="E81" s="126">
        <v>1200</v>
      </c>
      <c r="F81" s="126">
        <v>1200</v>
      </c>
      <c r="G81" s="126">
        <v>1200</v>
      </c>
      <c r="H81" s="117" t="s">
        <v>210</v>
      </c>
      <c r="I81" s="117" t="s">
        <v>143</v>
      </c>
    </row>
    <row r="82" spans="1:9" s="27" customFormat="1" ht="14.5" x14ac:dyDescent="0.35">
      <c r="A82" s="117" t="s">
        <v>109</v>
      </c>
      <c r="B82" s="117" t="s">
        <v>209</v>
      </c>
      <c r="C82" s="118" t="s">
        <v>68</v>
      </c>
      <c r="D82" s="126">
        <v>120</v>
      </c>
      <c r="E82" s="126">
        <v>1000</v>
      </c>
      <c r="F82" s="126">
        <v>1000</v>
      </c>
      <c r="G82" s="126">
        <v>1000</v>
      </c>
      <c r="H82" s="117" t="s">
        <v>210</v>
      </c>
      <c r="I82" s="117" t="s">
        <v>143</v>
      </c>
    </row>
    <row r="83" spans="1:9" s="27" customFormat="1" ht="14.5" x14ac:dyDescent="0.35">
      <c r="A83" s="117" t="s">
        <v>112</v>
      </c>
      <c r="B83" s="117" t="s">
        <v>113</v>
      </c>
      <c r="C83" s="118" t="s">
        <v>82</v>
      </c>
      <c r="D83" s="126">
        <v>8</v>
      </c>
      <c r="E83" s="126">
        <v>270000</v>
      </c>
      <c r="F83" s="126">
        <v>270000</v>
      </c>
      <c r="G83" s="126">
        <v>270000</v>
      </c>
      <c r="H83" s="117" t="s">
        <v>220</v>
      </c>
      <c r="I83" s="117" t="s">
        <v>143</v>
      </c>
    </row>
    <row r="84" spans="1:9" s="27" customFormat="1" ht="14.5" x14ac:dyDescent="0.35">
      <c r="A84" s="117" t="s">
        <v>112</v>
      </c>
      <c r="B84" s="117" t="s">
        <v>113</v>
      </c>
      <c r="C84" s="118" t="s">
        <v>66</v>
      </c>
      <c r="D84" s="126">
        <v>22</v>
      </c>
      <c r="E84" s="126">
        <v>250000</v>
      </c>
      <c r="F84" s="126">
        <v>220000</v>
      </c>
      <c r="G84" s="126">
        <v>233636</v>
      </c>
      <c r="H84" s="117" t="s">
        <v>220</v>
      </c>
      <c r="I84" s="117" t="s">
        <v>143</v>
      </c>
    </row>
    <row r="85" spans="1:9" s="27" customFormat="1" ht="14.5" x14ac:dyDescent="0.35">
      <c r="A85" s="117" t="s">
        <v>112</v>
      </c>
      <c r="B85" s="117" t="s">
        <v>229</v>
      </c>
      <c r="C85" s="118" t="s">
        <v>82</v>
      </c>
      <c r="D85" s="126">
        <v>5</v>
      </c>
      <c r="E85" s="126">
        <v>300000</v>
      </c>
      <c r="F85" s="126">
        <v>300000</v>
      </c>
      <c r="G85" s="126">
        <v>300000</v>
      </c>
      <c r="H85" s="117" t="s">
        <v>220</v>
      </c>
      <c r="I85" s="117" t="s">
        <v>99</v>
      </c>
    </row>
    <row r="86" spans="1:9" s="27" customFormat="1" ht="14.5" x14ac:dyDescent="0.35">
      <c r="A86" s="117" t="s">
        <v>112</v>
      </c>
      <c r="B86" s="117" t="s">
        <v>229</v>
      </c>
      <c r="C86" s="118" t="s">
        <v>66</v>
      </c>
      <c r="D86" s="126">
        <v>7</v>
      </c>
      <c r="E86" s="126">
        <v>280000</v>
      </c>
      <c r="F86" s="126">
        <v>280000</v>
      </c>
      <c r="G86" s="126">
        <v>280000</v>
      </c>
      <c r="H86" s="117" t="s">
        <v>220</v>
      </c>
      <c r="I86" s="117" t="s">
        <v>99</v>
      </c>
    </row>
    <row r="87" spans="1:9" s="27" customFormat="1" ht="14.5" x14ac:dyDescent="0.35">
      <c r="A87" s="117" t="s">
        <v>114</v>
      </c>
      <c r="B87" s="117" t="s">
        <v>115</v>
      </c>
      <c r="C87" s="118" t="s">
        <v>82</v>
      </c>
      <c r="D87" s="126">
        <v>108</v>
      </c>
      <c r="E87" s="126">
        <v>25000</v>
      </c>
      <c r="F87" s="126">
        <v>24000</v>
      </c>
      <c r="G87" s="126">
        <v>24500</v>
      </c>
      <c r="H87" s="117" t="s">
        <v>158</v>
      </c>
      <c r="I87" s="117" t="s">
        <v>117</v>
      </c>
    </row>
    <row r="88" spans="1:9" s="27" customFormat="1" ht="14.5" x14ac:dyDescent="0.35">
      <c r="A88" s="117" t="s">
        <v>114</v>
      </c>
      <c r="B88" s="117" t="s">
        <v>115</v>
      </c>
      <c r="C88" s="118" t="s">
        <v>82</v>
      </c>
      <c r="D88" s="126">
        <v>104</v>
      </c>
      <c r="E88" s="126">
        <v>14000</v>
      </c>
      <c r="F88" s="126">
        <v>14000</v>
      </c>
      <c r="G88" s="126">
        <v>14000</v>
      </c>
      <c r="H88" s="117" t="s">
        <v>230</v>
      </c>
      <c r="I88" s="117" t="s">
        <v>117</v>
      </c>
    </row>
    <row r="89" spans="1:9" s="27" customFormat="1" ht="14.5" x14ac:dyDescent="0.35">
      <c r="A89" s="117" t="s">
        <v>114</v>
      </c>
      <c r="B89" s="117" t="s">
        <v>115</v>
      </c>
      <c r="C89" s="118" t="s">
        <v>66</v>
      </c>
      <c r="D89" s="126">
        <v>108</v>
      </c>
      <c r="E89" s="126">
        <v>26000</v>
      </c>
      <c r="F89" s="126">
        <v>25000</v>
      </c>
      <c r="G89" s="126">
        <v>25500</v>
      </c>
      <c r="H89" s="117" t="s">
        <v>71</v>
      </c>
      <c r="I89" s="117" t="s">
        <v>117</v>
      </c>
    </row>
    <row r="90" spans="1:9" s="27" customFormat="1" ht="14.5" x14ac:dyDescent="0.35">
      <c r="A90" s="117" t="s">
        <v>114</v>
      </c>
      <c r="B90" s="117" t="s">
        <v>115</v>
      </c>
      <c r="C90" s="118" t="s">
        <v>66</v>
      </c>
      <c r="D90" s="126">
        <v>104</v>
      </c>
      <c r="E90" s="126">
        <v>15000</v>
      </c>
      <c r="F90" s="126">
        <v>15000</v>
      </c>
      <c r="G90" s="126">
        <v>15000</v>
      </c>
      <c r="H90" s="117" t="s">
        <v>231</v>
      </c>
      <c r="I90" s="117" t="s">
        <v>117</v>
      </c>
    </row>
    <row r="91" spans="1:9" s="27" customFormat="1" ht="14.5" x14ac:dyDescent="0.35">
      <c r="A91" s="117" t="s">
        <v>114</v>
      </c>
      <c r="B91" s="117" t="s">
        <v>115</v>
      </c>
      <c r="C91" s="118" t="s">
        <v>57</v>
      </c>
      <c r="D91" s="126">
        <v>108</v>
      </c>
      <c r="E91" s="126">
        <v>26000</v>
      </c>
      <c r="F91" s="126">
        <v>25000</v>
      </c>
      <c r="G91" s="126">
        <v>25500</v>
      </c>
      <c r="H91" s="117" t="s">
        <v>232</v>
      </c>
      <c r="I91" s="117" t="s">
        <v>117</v>
      </c>
    </row>
    <row r="92" spans="1:9" s="27" customFormat="1" ht="14.5" x14ac:dyDescent="0.35">
      <c r="A92" s="117" t="s">
        <v>114</v>
      </c>
      <c r="B92" s="117" t="s">
        <v>115</v>
      </c>
      <c r="C92" s="118" t="s">
        <v>57</v>
      </c>
      <c r="D92" s="126">
        <v>104</v>
      </c>
      <c r="E92" s="126">
        <v>15000</v>
      </c>
      <c r="F92" s="126">
        <v>15000</v>
      </c>
      <c r="G92" s="126">
        <v>15000</v>
      </c>
      <c r="H92" s="117" t="s">
        <v>116</v>
      </c>
      <c r="I92" s="117" t="s">
        <v>117</v>
      </c>
    </row>
    <row r="93" spans="1:9" s="27" customFormat="1" ht="14.5" x14ac:dyDescent="0.35">
      <c r="A93" s="117" t="s">
        <v>114</v>
      </c>
      <c r="B93" s="117" t="s">
        <v>115</v>
      </c>
      <c r="C93" s="118" t="s">
        <v>68</v>
      </c>
      <c r="D93" s="126">
        <v>108</v>
      </c>
      <c r="E93" s="126">
        <v>26000</v>
      </c>
      <c r="F93" s="126">
        <v>25000</v>
      </c>
      <c r="G93" s="126">
        <v>25500</v>
      </c>
      <c r="H93" s="117" t="s">
        <v>233</v>
      </c>
      <c r="I93" s="117" t="s">
        <v>117</v>
      </c>
    </row>
    <row r="94" spans="1:9" s="27" customFormat="1" ht="14.5" x14ac:dyDescent="0.35">
      <c r="A94" s="117" t="s">
        <v>114</v>
      </c>
      <c r="B94" s="117" t="s">
        <v>115</v>
      </c>
      <c r="C94" s="118" t="s">
        <v>68</v>
      </c>
      <c r="D94" s="126">
        <v>104</v>
      </c>
      <c r="E94" s="126">
        <v>15000</v>
      </c>
      <c r="F94" s="126">
        <v>15000</v>
      </c>
      <c r="G94" s="126">
        <v>15000</v>
      </c>
      <c r="H94" s="117" t="s">
        <v>118</v>
      </c>
      <c r="I94" s="117" t="s">
        <v>117</v>
      </c>
    </row>
    <row r="95" spans="1:9" s="27" customFormat="1" ht="14.5" x14ac:dyDescent="0.35">
      <c r="A95" s="117" t="s">
        <v>119</v>
      </c>
      <c r="B95" s="117" t="s">
        <v>65</v>
      </c>
      <c r="C95" s="118" t="s">
        <v>234</v>
      </c>
      <c r="D95" s="126">
        <v>1628</v>
      </c>
      <c r="E95" s="126">
        <v>17000</v>
      </c>
      <c r="F95" s="126">
        <v>16000</v>
      </c>
      <c r="G95" s="126">
        <v>16521</v>
      </c>
      <c r="H95" s="117" t="s">
        <v>121</v>
      </c>
      <c r="I95" s="117" t="s">
        <v>117</v>
      </c>
    </row>
    <row r="96" spans="1:9" s="27" customFormat="1" ht="15" thickBot="1" x14ac:dyDescent="0.4">
      <c r="A96" s="123" t="s">
        <v>119</v>
      </c>
      <c r="B96" s="123" t="s">
        <v>65</v>
      </c>
      <c r="C96" s="124" t="s">
        <v>122</v>
      </c>
      <c r="D96" s="127">
        <v>1480</v>
      </c>
      <c r="E96" s="127">
        <v>18000</v>
      </c>
      <c r="F96" s="127">
        <v>16000</v>
      </c>
      <c r="G96" s="127">
        <v>17193</v>
      </c>
      <c r="H96" s="123" t="s">
        <v>121</v>
      </c>
      <c r="I96" s="123" t="s">
        <v>117</v>
      </c>
    </row>
    <row r="97" spans="1:9" s="27" customFormat="1" ht="14.5" x14ac:dyDescent="0.35">
      <c r="A97" s="128" t="s">
        <v>310</v>
      </c>
      <c r="B97" s="77"/>
      <c r="C97" s="114"/>
      <c r="D97" s="115"/>
      <c r="E97" s="116"/>
      <c r="F97" s="116"/>
      <c r="G97" s="116"/>
      <c r="H97" s="77"/>
      <c r="I97" s="77"/>
    </row>
    <row r="98" spans="1:9" s="27" customFormat="1" ht="14.5" x14ac:dyDescent="0.35">
      <c r="C98" s="69"/>
      <c r="D98" s="70"/>
      <c r="E98" s="71"/>
      <c r="F98" s="71"/>
      <c r="G98" s="71"/>
    </row>
    <row r="99" spans="1:9" s="27" customFormat="1" ht="14.5" x14ac:dyDescent="0.35">
      <c r="C99" s="69"/>
      <c r="D99" s="70"/>
      <c r="E99" s="71"/>
      <c r="F99" s="71"/>
      <c r="G99" s="71"/>
    </row>
    <row r="100" spans="1:9" s="27" customFormat="1" ht="14.5" x14ac:dyDescent="0.35">
      <c r="C100" s="69"/>
      <c r="D100" s="70"/>
      <c r="E100" s="71"/>
      <c r="F100" s="71"/>
      <c r="G100" s="71"/>
    </row>
    <row r="101" spans="1:9" s="27" customFormat="1" ht="14.5" x14ac:dyDescent="0.35">
      <c r="C101" s="69"/>
      <c r="D101" s="70"/>
      <c r="E101" s="71"/>
      <c r="F101" s="71"/>
      <c r="G101" s="71"/>
    </row>
    <row r="102" spans="1:9" s="27" customFormat="1" ht="14.5" x14ac:dyDescent="0.35">
      <c r="C102" s="69"/>
      <c r="D102" s="70"/>
      <c r="E102" s="71"/>
      <c r="F102" s="71"/>
      <c r="G102" s="71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2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46226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30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204</v>
      </c>
      <c r="B10" s="122" t="s">
        <v>65</v>
      </c>
      <c r="C10" s="122" t="s">
        <v>82</v>
      </c>
      <c r="D10" s="125">
        <v>300</v>
      </c>
      <c r="E10" s="125">
        <v>25000</v>
      </c>
      <c r="F10" s="125">
        <v>24000</v>
      </c>
      <c r="G10" s="125">
        <v>24500</v>
      </c>
      <c r="H10" s="122" t="s">
        <v>205</v>
      </c>
      <c r="I10" s="122" t="s">
        <v>155</v>
      </c>
    </row>
    <row r="11" spans="1:9" s="27" customFormat="1" ht="14.5" x14ac:dyDescent="0.35">
      <c r="A11" s="117" t="s">
        <v>204</v>
      </c>
      <c r="B11" s="117" t="s">
        <v>65</v>
      </c>
      <c r="C11" s="118" t="s">
        <v>66</v>
      </c>
      <c r="D11" s="126">
        <v>250</v>
      </c>
      <c r="E11" s="130">
        <v>20000</v>
      </c>
      <c r="F11" s="130">
        <v>18000</v>
      </c>
      <c r="G11" s="130">
        <v>19000</v>
      </c>
      <c r="H11" s="117" t="s">
        <v>205</v>
      </c>
      <c r="I11" s="117" t="s">
        <v>155</v>
      </c>
    </row>
    <row r="12" spans="1:9" s="27" customFormat="1" ht="14.5" x14ac:dyDescent="0.35">
      <c r="A12" s="117" t="s">
        <v>204</v>
      </c>
      <c r="B12" s="117" t="s">
        <v>65</v>
      </c>
      <c r="C12" s="118" t="s">
        <v>57</v>
      </c>
      <c r="D12" s="126">
        <v>200</v>
      </c>
      <c r="E12" s="130">
        <v>15000</v>
      </c>
      <c r="F12" s="130">
        <v>14000</v>
      </c>
      <c r="G12" s="130">
        <v>14500</v>
      </c>
      <c r="H12" s="117" t="s">
        <v>205</v>
      </c>
      <c r="I12" s="117" t="s">
        <v>155</v>
      </c>
    </row>
    <row r="13" spans="1:9" s="27" customFormat="1" ht="14.5" x14ac:dyDescent="0.35">
      <c r="A13" s="117" t="s">
        <v>204</v>
      </c>
      <c r="B13" s="117" t="s">
        <v>65</v>
      </c>
      <c r="C13" s="118" t="s">
        <v>68</v>
      </c>
      <c r="D13" s="126">
        <v>100</v>
      </c>
      <c r="E13" s="130">
        <v>10000</v>
      </c>
      <c r="F13" s="130">
        <v>8000</v>
      </c>
      <c r="G13" s="130">
        <v>9000</v>
      </c>
      <c r="H13" s="117" t="s">
        <v>205</v>
      </c>
      <c r="I13" s="117" t="s">
        <v>155</v>
      </c>
    </row>
    <row r="14" spans="1:9" s="27" customFormat="1" ht="14.5" x14ac:dyDescent="0.35">
      <c r="A14" s="117" t="s">
        <v>80</v>
      </c>
      <c r="B14" s="117" t="s">
        <v>81</v>
      </c>
      <c r="C14" s="118" t="s">
        <v>82</v>
      </c>
      <c r="D14" s="126">
        <v>330</v>
      </c>
      <c r="E14" s="130">
        <v>12000</v>
      </c>
      <c r="F14" s="130">
        <v>12000</v>
      </c>
      <c r="G14" s="130">
        <v>12000</v>
      </c>
      <c r="H14" s="117" t="s">
        <v>83</v>
      </c>
      <c r="I14" s="117" t="s">
        <v>99</v>
      </c>
    </row>
    <row r="15" spans="1:9" s="27" customFormat="1" ht="14.5" x14ac:dyDescent="0.35">
      <c r="A15" s="117" t="s">
        <v>80</v>
      </c>
      <c r="B15" s="117" t="s">
        <v>81</v>
      </c>
      <c r="C15" s="118" t="s">
        <v>102</v>
      </c>
      <c r="D15" s="126">
        <v>350</v>
      </c>
      <c r="E15" s="130">
        <v>15000</v>
      </c>
      <c r="F15" s="130">
        <v>14000</v>
      </c>
      <c r="G15" s="130">
        <v>14571</v>
      </c>
      <c r="H15" s="117" t="s">
        <v>83</v>
      </c>
      <c r="I15" s="117" t="s">
        <v>99</v>
      </c>
    </row>
    <row r="16" spans="1:9" s="27" customFormat="1" ht="14.5" x14ac:dyDescent="0.35">
      <c r="A16" s="117" t="s">
        <v>80</v>
      </c>
      <c r="B16" s="117" t="s">
        <v>81</v>
      </c>
      <c r="C16" s="118" t="s">
        <v>66</v>
      </c>
      <c r="D16" s="126">
        <v>280</v>
      </c>
      <c r="E16" s="130">
        <v>10000</v>
      </c>
      <c r="F16" s="130">
        <v>10000</v>
      </c>
      <c r="G16" s="130">
        <v>10000</v>
      </c>
      <c r="H16" s="117" t="s">
        <v>83</v>
      </c>
      <c r="I16" s="117" t="s">
        <v>99</v>
      </c>
    </row>
    <row r="17" spans="1:9" s="27" customFormat="1" ht="14.5" x14ac:dyDescent="0.35">
      <c r="A17" s="117" t="s">
        <v>80</v>
      </c>
      <c r="B17" s="117" t="s">
        <v>81</v>
      </c>
      <c r="C17" s="118" t="s">
        <v>57</v>
      </c>
      <c r="D17" s="126">
        <v>400</v>
      </c>
      <c r="E17" s="130">
        <v>8000</v>
      </c>
      <c r="F17" s="130">
        <v>7000</v>
      </c>
      <c r="G17" s="130">
        <v>7500</v>
      </c>
      <c r="H17" s="117" t="s">
        <v>83</v>
      </c>
      <c r="I17" s="117" t="s">
        <v>99</v>
      </c>
    </row>
    <row r="18" spans="1:9" s="27" customFormat="1" ht="14.5" x14ac:dyDescent="0.35">
      <c r="A18" s="117" t="s">
        <v>55</v>
      </c>
      <c r="B18" s="117" t="s">
        <v>65</v>
      </c>
      <c r="C18" s="118" t="s">
        <v>85</v>
      </c>
      <c r="D18" s="126">
        <v>300</v>
      </c>
      <c r="E18" s="130">
        <v>6000</v>
      </c>
      <c r="F18" s="130">
        <v>5000</v>
      </c>
      <c r="G18" s="130">
        <v>5500</v>
      </c>
      <c r="H18" s="117" t="s">
        <v>147</v>
      </c>
      <c r="I18" s="117" t="s">
        <v>155</v>
      </c>
    </row>
    <row r="19" spans="1:9" s="27" customFormat="1" ht="14.5" x14ac:dyDescent="0.35">
      <c r="A19" s="117" t="s">
        <v>55</v>
      </c>
      <c r="B19" s="117" t="s">
        <v>65</v>
      </c>
      <c r="C19" s="118" t="s">
        <v>85</v>
      </c>
      <c r="D19" s="126">
        <v>300</v>
      </c>
      <c r="E19" s="130">
        <v>6000</v>
      </c>
      <c r="F19" s="130">
        <v>5000</v>
      </c>
      <c r="G19" s="130">
        <v>5500</v>
      </c>
      <c r="H19" s="117" t="s">
        <v>147</v>
      </c>
      <c r="I19" s="117" t="s">
        <v>143</v>
      </c>
    </row>
    <row r="20" spans="1:9" s="27" customFormat="1" ht="14.5" x14ac:dyDescent="0.35">
      <c r="A20" s="117" t="s">
        <v>55</v>
      </c>
      <c r="B20" s="117" t="s">
        <v>65</v>
      </c>
      <c r="C20" s="118" t="s">
        <v>85</v>
      </c>
      <c r="D20" s="126">
        <v>250</v>
      </c>
      <c r="E20" s="130">
        <v>6000</v>
      </c>
      <c r="F20" s="130">
        <v>5000</v>
      </c>
      <c r="G20" s="130">
        <v>5500</v>
      </c>
      <c r="H20" s="117" t="s">
        <v>147</v>
      </c>
      <c r="I20" s="117" t="s">
        <v>99</v>
      </c>
    </row>
    <row r="21" spans="1:9" s="27" customFormat="1" ht="14.5" x14ac:dyDescent="0.35">
      <c r="A21" s="117" t="s">
        <v>55</v>
      </c>
      <c r="B21" s="117" t="s">
        <v>65</v>
      </c>
      <c r="C21" s="118" t="s">
        <v>88</v>
      </c>
      <c r="D21" s="126">
        <v>250</v>
      </c>
      <c r="E21" s="130">
        <v>4500</v>
      </c>
      <c r="F21" s="130">
        <v>3500</v>
      </c>
      <c r="G21" s="130">
        <v>4000</v>
      </c>
      <c r="H21" s="117" t="s">
        <v>147</v>
      </c>
      <c r="I21" s="117" t="s">
        <v>155</v>
      </c>
    </row>
    <row r="22" spans="1:9" s="27" customFormat="1" ht="14.5" x14ac:dyDescent="0.35">
      <c r="A22" s="117" t="s">
        <v>55</v>
      </c>
      <c r="B22" s="117" t="s">
        <v>65</v>
      </c>
      <c r="C22" s="118" t="s">
        <v>88</v>
      </c>
      <c r="D22" s="126">
        <v>250</v>
      </c>
      <c r="E22" s="130">
        <v>4500</v>
      </c>
      <c r="F22" s="130">
        <v>3500</v>
      </c>
      <c r="G22" s="130">
        <v>4000</v>
      </c>
      <c r="H22" s="117" t="s">
        <v>147</v>
      </c>
      <c r="I22" s="117" t="s">
        <v>143</v>
      </c>
    </row>
    <row r="23" spans="1:9" s="27" customFormat="1" ht="14.5" x14ac:dyDescent="0.35">
      <c r="A23" s="117" t="s">
        <v>55</v>
      </c>
      <c r="B23" s="117" t="s">
        <v>65</v>
      </c>
      <c r="C23" s="118" t="s">
        <v>88</v>
      </c>
      <c r="D23" s="126">
        <v>200</v>
      </c>
      <c r="E23" s="130">
        <v>4500</v>
      </c>
      <c r="F23" s="130">
        <v>3500</v>
      </c>
      <c r="G23" s="130">
        <v>4000</v>
      </c>
      <c r="H23" s="117" t="s">
        <v>147</v>
      </c>
      <c r="I23" s="117" t="s">
        <v>99</v>
      </c>
    </row>
    <row r="24" spans="1:9" s="27" customFormat="1" ht="14.5" x14ac:dyDescent="0.35">
      <c r="A24" s="117" t="s">
        <v>55</v>
      </c>
      <c r="B24" s="117" t="s">
        <v>65</v>
      </c>
      <c r="C24" s="118" t="s">
        <v>221</v>
      </c>
      <c r="D24" s="126">
        <v>200</v>
      </c>
      <c r="E24" s="130">
        <v>3000</v>
      </c>
      <c r="F24" s="130">
        <v>2500</v>
      </c>
      <c r="G24" s="130">
        <v>2750</v>
      </c>
      <c r="H24" s="117" t="s">
        <v>147</v>
      </c>
      <c r="I24" s="117" t="s">
        <v>155</v>
      </c>
    </row>
    <row r="25" spans="1:9" s="27" customFormat="1" ht="14.5" x14ac:dyDescent="0.35">
      <c r="A25" s="117" t="s">
        <v>55</v>
      </c>
      <c r="B25" s="117" t="s">
        <v>65</v>
      </c>
      <c r="C25" s="118" t="s">
        <v>221</v>
      </c>
      <c r="D25" s="126">
        <v>150</v>
      </c>
      <c r="E25" s="130">
        <v>3000</v>
      </c>
      <c r="F25" s="130">
        <v>2000</v>
      </c>
      <c r="G25" s="130">
        <v>2500</v>
      </c>
      <c r="H25" s="117" t="s">
        <v>147</v>
      </c>
      <c r="I25" s="117" t="s">
        <v>143</v>
      </c>
    </row>
    <row r="26" spans="1:9" s="27" customFormat="1" ht="14.5" x14ac:dyDescent="0.35">
      <c r="A26" s="117" t="s">
        <v>55</v>
      </c>
      <c r="B26" s="117" t="s">
        <v>65</v>
      </c>
      <c r="C26" s="118" t="s">
        <v>221</v>
      </c>
      <c r="D26" s="126">
        <v>100</v>
      </c>
      <c r="E26" s="130">
        <v>3000</v>
      </c>
      <c r="F26" s="130">
        <v>2000</v>
      </c>
      <c r="G26" s="130">
        <v>2500</v>
      </c>
      <c r="H26" s="117" t="s">
        <v>147</v>
      </c>
      <c r="I26" s="117" t="s">
        <v>99</v>
      </c>
    </row>
    <row r="27" spans="1:9" s="27" customFormat="1" ht="14.5" x14ac:dyDescent="0.35">
      <c r="A27" s="117" t="s">
        <v>55</v>
      </c>
      <c r="B27" s="117" t="s">
        <v>264</v>
      </c>
      <c r="C27" s="118" t="s">
        <v>66</v>
      </c>
      <c r="D27" s="126">
        <v>100</v>
      </c>
      <c r="E27" s="130">
        <v>30000</v>
      </c>
      <c r="F27" s="130">
        <v>28000</v>
      </c>
      <c r="G27" s="130">
        <v>29000</v>
      </c>
      <c r="H27" s="117" t="s">
        <v>58</v>
      </c>
      <c r="I27" s="117" t="s">
        <v>59</v>
      </c>
    </row>
    <row r="28" spans="1:9" s="27" customFormat="1" ht="14.5" x14ac:dyDescent="0.35">
      <c r="A28" s="117" t="s">
        <v>55</v>
      </c>
      <c r="B28" s="117" t="s">
        <v>264</v>
      </c>
      <c r="C28" s="118" t="s">
        <v>57</v>
      </c>
      <c r="D28" s="126">
        <v>80</v>
      </c>
      <c r="E28" s="130">
        <v>25000</v>
      </c>
      <c r="F28" s="130">
        <v>24000</v>
      </c>
      <c r="G28" s="130">
        <v>24500</v>
      </c>
      <c r="H28" s="117" t="s">
        <v>58</v>
      </c>
      <c r="I28" s="117" t="s">
        <v>59</v>
      </c>
    </row>
    <row r="29" spans="1:9" s="27" customFormat="1" ht="14.5" x14ac:dyDescent="0.35">
      <c r="A29" s="117" t="s">
        <v>89</v>
      </c>
      <c r="B29" s="117" t="s">
        <v>222</v>
      </c>
      <c r="C29" s="118" t="s">
        <v>82</v>
      </c>
      <c r="D29" s="126">
        <v>120</v>
      </c>
      <c r="E29" s="130">
        <v>14000</v>
      </c>
      <c r="F29" s="130">
        <v>14000</v>
      </c>
      <c r="G29" s="130">
        <v>14000</v>
      </c>
      <c r="H29" s="117" t="s">
        <v>83</v>
      </c>
      <c r="I29" s="117" t="s">
        <v>135</v>
      </c>
    </row>
    <row r="30" spans="1:9" s="27" customFormat="1" ht="14.5" x14ac:dyDescent="0.35">
      <c r="A30" s="117" t="s">
        <v>89</v>
      </c>
      <c r="B30" s="117" t="s">
        <v>222</v>
      </c>
      <c r="C30" s="118" t="s">
        <v>82</v>
      </c>
      <c r="D30" s="126">
        <v>360</v>
      </c>
      <c r="E30" s="130">
        <v>12000</v>
      </c>
      <c r="F30" s="130">
        <v>12000</v>
      </c>
      <c r="G30" s="130">
        <v>12000</v>
      </c>
      <c r="H30" s="117" t="s">
        <v>83</v>
      </c>
      <c r="I30" s="117" t="s">
        <v>143</v>
      </c>
    </row>
    <row r="31" spans="1:9" s="27" customFormat="1" ht="14.5" x14ac:dyDescent="0.35">
      <c r="A31" s="117" t="s">
        <v>89</v>
      </c>
      <c r="B31" s="117" t="s">
        <v>222</v>
      </c>
      <c r="C31" s="118" t="s">
        <v>66</v>
      </c>
      <c r="D31" s="126">
        <v>240</v>
      </c>
      <c r="E31" s="130">
        <v>12000</v>
      </c>
      <c r="F31" s="130">
        <v>12000</v>
      </c>
      <c r="G31" s="130">
        <v>12000</v>
      </c>
      <c r="H31" s="117" t="s">
        <v>83</v>
      </c>
      <c r="I31" s="117" t="s">
        <v>135</v>
      </c>
    </row>
    <row r="32" spans="1:9" s="27" customFormat="1" ht="14.5" x14ac:dyDescent="0.35">
      <c r="A32" s="117" t="s">
        <v>89</v>
      </c>
      <c r="B32" s="117" t="s">
        <v>222</v>
      </c>
      <c r="C32" s="118" t="s">
        <v>66</v>
      </c>
      <c r="D32" s="126">
        <v>240</v>
      </c>
      <c r="E32" s="130">
        <v>10000</v>
      </c>
      <c r="F32" s="130">
        <v>10000</v>
      </c>
      <c r="G32" s="130">
        <v>10000</v>
      </c>
      <c r="H32" s="117" t="s">
        <v>83</v>
      </c>
      <c r="I32" s="117" t="s">
        <v>143</v>
      </c>
    </row>
    <row r="33" spans="1:9" s="27" customFormat="1" ht="14.5" x14ac:dyDescent="0.35">
      <c r="A33" s="117" t="s">
        <v>89</v>
      </c>
      <c r="B33" s="117" t="s">
        <v>222</v>
      </c>
      <c r="C33" s="118" t="s">
        <v>57</v>
      </c>
      <c r="D33" s="126">
        <v>120</v>
      </c>
      <c r="E33" s="130">
        <v>10000</v>
      </c>
      <c r="F33" s="130">
        <v>10000</v>
      </c>
      <c r="G33" s="130">
        <v>10000</v>
      </c>
      <c r="H33" s="117" t="s">
        <v>83</v>
      </c>
      <c r="I33" s="117" t="s">
        <v>135</v>
      </c>
    </row>
    <row r="34" spans="1:9" s="27" customFormat="1" ht="14.5" x14ac:dyDescent="0.35">
      <c r="A34" s="117" t="s">
        <v>89</v>
      </c>
      <c r="B34" s="117" t="s">
        <v>222</v>
      </c>
      <c r="C34" s="118" t="s">
        <v>57</v>
      </c>
      <c r="D34" s="126">
        <v>240</v>
      </c>
      <c r="E34" s="130">
        <v>8000</v>
      </c>
      <c r="F34" s="130">
        <v>8000</v>
      </c>
      <c r="G34" s="130">
        <v>8000</v>
      </c>
      <c r="H34" s="117" t="s">
        <v>83</v>
      </c>
      <c r="I34" s="117" t="s">
        <v>143</v>
      </c>
    </row>
    <row r="35" spans="1:9" s="27" customFormat="1" ht="14.5" x14ac:dyDescent="0.35">
      <c r="A35" s="117" t="s">
        <v>92</v>
      </c>
      <c r="B35" s="117" t="s">
        <v>65</v>
      </c>
      <c r="C35" s="118" t="s">
        <v>82</v>
      </c>
      <c r="D35" s="126">
        <v>228</v>
      </c>
      <c r="E35" s="130">
        <v>13000</v>
      </c>
      <c r="F35" s="130">
        <v>12000</v>
      </c>
      <c r="G35" s="130">
        <v>12500</v>
      </c>
      <c r="H35" s="117" t="s">
        <v>93</v>
      </c>
      <c r="I35" s="117" t="s">
        <v>94</v>
      </c>
    </row>
    <row r="36" spans="1:9" s="27" customFormat="1" ht="14.5" x14ac:dyDescent="0.35">
      <c r="A36" s="117" t="s">
        <v>92</v>
      </c>
      <c r="B36" s="117" t="s">
        <v>65</v>
      </c>
      <c r="C36" s="118" t="s">
        <v>82</v>
      </c>
      <c r="D36" s="126">
        <v>228</v>
      </c>
      <c r="E36" s="130">
        <v>12000</v>
      </c>
      <c r="F36" s="130">
        <v>12000</v>
      </c>
      <c r="G36" s="130">
        <v>12000</v>
      </c>
      <c r="H36" s="117" t="s">
        <v>93</v>
      </c>
      <c r="I36" s="117" t="s">
        <v>59</v>
      </c>
    </row>
    <row r="37" spans="1:9" s="27" customFormat="1" ht="14.5" x14ac:dyDescent="0.35">
      <c r="A37" s="117" t="s">
        <v>92</v>
      </c>
      <c r="B37" s="117" t="s">
        <v>65</v>
      </c>
      <c r="C37" s="118" t="s">
        <v>66</v>
      </c>
      <c r="D37" s="126">
        <v>228</v>
      </c>
      <c r="E37" s="130">
        <v>13000</v>
      </c>
      <c r="F37" s="130">
        <v>12000</v>
      </c>
      <c r="G37" s="130">
        <v>12500</v>
      </c>
      <c r="H37" s="117" t="s">
        <v>93</v>
      </c>
      <c r="I37" s="117" t="s">
        <v>94</v>
      </c>
    </row>
    <row r="38" spans="1:9" s="27" customFormat="1" ht="14.5" x14ac:dyDescent="0.35">
      <c r="A38" s="117" t="s">
        <v>92</v>
      </c>
      <c r="B38" s="117" t="s">
        <v>65</v>
      </c>
      <c r="C38" s="118" t="s">
        <v>66</v>
      </c>
      <c r="D38" s="126">
        <v>228</v>
      </c>
      <c r="E38" s="130">
        <v>12000</v>
      </c>
      <c r="F38" s="130">
        <v>12000</v>
      </c>
      <c r="G38" s="130">
        <v>12000</v>
      </c>
      <c r="H38" s="117" t="s">
        <v>93</v>
      </c>
      <c r="I38" s="117" t="s">
        <v>59</v>
      </c>
    </row>
    <row r="39" spans="1:9" s="27" customFormat="1" ht="14.5" x14ac:dyDescent="0.35">
      <c r="A39" s="117" t="s">
        <v>92</v>
      </c>
      <c r="B39" s="117" t="s">
        <v>65</v>
      </c>
      <c r="C39" s="118" t="s">
        <v>57</v>
      </c>
      <c r="D39" s="126">
        <v>228</v>
      </c>
      <c r="E39" s="130">
        <v>13000</v>
      </c>
      <c r="F39" s="130">
        <v>12000</v>
      </c>
      <c r="G39" s="130">
        <v>12500</v>
      </c>
      <c r="H39" s="117" t="s">
        <v>93</v>
      </c>
      <c r="I39" s="117" t="s">
        <v>94</v>
      </c>
    </row>
    <row r="40" spans="1:9" s="27" customFormat="1" ht="14.5" x14ac:dyDescent="0.35">
      <c r="A40" s="117" t="s">
        <v>92</v>
      </c>
      <c r="B40" s="117" t="s">
        <v>65</v>
      </c>
      <c r="C40" s="118" t="s">
        <v>57</v>
      </c>
      <c r="D40" s="126">
        <v>228</v>
      </c>
      <c r="E40" s="130">
        <v>12000</v>
      </c>
      <c r="F40" s="130">
        <v>12000</v>
      </c>
      <c r="G40" s="130">
        <v>12000</v>
      </c>
      <c r="H40" s="117" t="s">
        <v>93</v>
      </c>
      <c r="I40" s="117" t="s">
        <v>59</v>
      </c>
    </row>
    <row r="41" spans="1:9" s="27" customFormat="1" ht="14.5" x14ac:dyDescent="0.35">
      <c r="A41" s="117" t="s">
        <v>95</v>
      </c>
      <c r="B41" s="117" t="s">
        <v>96</v>
      </c>
      <c r="C41" s="118" t="s">
        <v>82</v>
      </c>
      <c r="D41" s="126">
        <v>150</v>
      </c>
      <c r="E41" s="130">
        <v>16000</v>
      </c>
      <c r="F41" s="130">
        <v>16000</v>
      </c>
      <c r="G41" s="130">
        <v>16000</v>
      </c>
      <c r="H41" s="117" t="s">
        <v>265</v>
      </c>
      <c r="I41" s="117" t="s">
        <v>99</v>
      </c>
    </row>
    <row r="42" spans="1:9" s="27" customFormat="1" ht="14.5" x14ac:dyDescent="0.35">
      <c r="A42" s="117" t="s">
        <v>95</v>
      </c>
      <c r="B42" s="117" t="s">
        <v>96</v>
      </c>
      <c r="C42" s="118" t="s">
        <v>66</v>
      </c>
      <c r="D42" s="126">
        <v>180</v>
      </c>
      <c r="E42" s="130">
        <v>14000</v>
      </c>
      <c r="F42" s="130">
        <v>14000</v>
      </c>
      <c r="G42" s="130">
        <v>14000</v>
      </c>
      <c r="H42" s="117" t="s">
        <v>265</v>
      </c>
      <c r="I42" s="117" t="s">
        <v>99</v>
      </c>
    </row>
    <row r="43" spans="1:9" s="27" customFormat="1" ht="14.5" x14ac:dyDescent="0.35">
      <c r="A43" s="117" t="s">
        <v>95</v>
      </c>
      <c r="B43" s="117" t="s">
        <v>96</v>
      </c>
      <c r="C43" s="118" t="s">
        <v>57</v>
      </c>
      <c r="D43" s="126">
        <v>120</v>
      </c>
      <c r="E43" s="130">
        <v>12000</v>
      </c>
      <c r="F43" s="130">
        <v>12000</v>
      </c>
      <c r="G43" s="130">
        <v>12000</v>
      </c>
      <c r="H43" s="117" t="s">
        <v>265</v>
      </c>
      <c r="I43" s="117" t="s">
        <v>99</v>
      </c>
    </row>
    <row r="44" spans="1:9" s="27" customFormat="1" ht="14.5" x14ac:dyDescent="0.35">
      <c r="A44" s="117" t="s">
        <v>95</v>
      </c>
      <c r="B44" s="117" t="s">
        <v>96</v>
      </c>
      <c r="C44" s="118" t="s">
        <v>68</v>
      </c>
      <c r="D44" s="126">
        <v>100</v>
      </c>
      <c r="E44" s="130">
        <v>10000</v>
      </c>
      <c r="F44" s="130">
        <v>10000</v>
      </c>
      <c r="G44" s="130">
        <v>10000</v>
      </c>
      <c r="H44" s="117" t="s">
        <v>265</v>
      </c>
      <c r="I44" s="117" t="s">
        <v>99</v>
      </c>
    </row>
    <row r="45" spans="1:9" s="27" customFormat="1" ht="14.5" x14ac:dyDescent="0.35">
      <c r="A45" s="117" t="s">
        <v>95</v>
      </c>
      <c r="B45" s="117" t="s">
        <v>103</v>
      </c>
      <c r="C45" s="118" t="s">
        <v>82</v>
      </c>
      <c r="D45" s="126">
        <v>120</v>
      </c>
      <c r="E45" s="130">
        <v>15000</v>
      </c>
      <c r="F45" s="130">
        <v>15000</v>
      </c>
      <c r="G45" s="130">
        <v>15000</v>
      </c>
      <c r="H45" s="117" t="s">
        <v>265</v>
      </c>
      <c r="I45" s="117" t="s">
        <v>84</v>
      </c>
    </row>
    <row r="46" spans="1:9" s="27" customFormat="1" ht="14.5" x14ac:dyDescent="0.35">
      <c r="A46" s="117" t="s">
        <v>95</v>
      </c>
      <c r="B46" s="117" t="s">
        <v>103</v>
      </c>
      <c r="C46" s="118" t="s">
        <v>66</v>
      </c>
      <c r="D46" s="126">
        <v>180</v>
      </c>
      <c r="E46" s="130">
        <v>13000</v>
      </c>
      <c r="F46" s="130">
        <v>13000</v>
      </c>
      <c r="G46" s="130">
        <v>13000</v>
      </c>
      <c r="H46" s="117" t="s">
        <v>265</v>
      </c>
      <c r="I46" s="117" t="s">
        <v>84</v>
      </c>
    </row>
    <row r="47" spans="1:9" s="27" customFormat="1" ht="14.5" x14ac:dyDescent="0.35">
      <c r="A47" s="117" t="s">
        <v>95</v>
      </c>
      <c r="B47" s="117" t="s">
        <v>103</v>
      </c>
      <c r="C47" s="118" t="s">
        <v>57</v>
      </c>
      <c r="D47" s="126">
        <v>150</v>
      </c>
      <c r="E47" s="130">
        <v>11000</v>
      </c>
      <c r="F47" s="130">
        <v>11000</v>
      </c>
      <c r="G47" s="130">
        <v>11000</v>
      </c>
      <c r="H47" s="117" t="s">
        <v>265</v>
      </c>
      <c r="I47" s="117" t="s">
        <v>84</v>
      </c>
    </row>
    <row r="48" spans="1:9" s="27" customFormat="1" ht="14.5" x14ac:dyDescent="0.35">
      <c r="A48" s="117" t="s">
        <v>95</v>
      </c>
      <c r="B48" s="117" t="s">
        <v>103</v>
      </c>
      <c r="C48" s="118" t="s">
        <v>68</v>
      </c>
      <c r="D48" s="126">
        <v>120</v>
      </c>
      <c r="E48" s="130">
        <v>9000</v>
      </c>
      <c r="F48" s="130">
        <v>9000</v>
      </c>
      <c r="G48" s="130">
        <v>9000</v>
      </c>
      <c r="H48" s="117" t="s">
        <v>265</v>
      </c>
      <c r="I48" s="117" t="s">
        <v>84</v>
      </c>
    </row>
    <row r="49" spans="1:9" s="27" customFormat="1" ht="14.5" x14ac:dyDescent="0.35">
      <c r="A49" s="117" t="s">
        <v>95</v>
      </c>
      <c r="B49" s="117" t="s">
        <v>104</v>
      </c>
      <c r="C49" s="118" t="s">
        <v>82</v>
      </c>
      <c r="D49" s="126">
        <v>150</v>
      </c>
      <c r="E49" s="130">
        <v>12000</v>
      </c>
      <c r="F49" s="130">
        <v>12000</v>
      </c>
      <c r="G49" s="130">
        <v>12000</v>
      </c>
      <c r="H49" s="117" t="s">
        <v>265</v>
      </c>
      <c r="I49" s="117" t="s">
        <v>99</v>
      </c>
    </row>
    <row r="50" spans="1:9" s="27" customFormat="1" ht="14.5" x14ac:dyDescent="0.35">
      <c r="A50" s="117" t="s">
        <v>95</v>
      </c>
      <c r="B50" s="117" t="s">
        <v>104</v>
      </c>
      <c r="C50" s="118" t="s">
        <v>66</v>
      </c>
      <c r="D50" s="126">
        <v>180</v>
      </c>
      <c r="E50" s="130">
        <v>10000</v>
      </c>
      <c r="F50" s="130">
        <v>10000</v>
      </c>
      <c r="G50" s="130">
        <v>10000</v>
      </c>
      <c r="H50" s="117" t="s">
        <v>265</v>
      </c>
      <c r="I50" s="117" t="s">
        <v>99</v>
      </c>
    </row>
    <row r="51" spans="1:9" s="27" customFormat="1" ht="14.5" x14ac:dyDescent="0.35">
      <c r="A51" s="117" t="s">
        <v>95</v>
      </c>
      <c r="B51" s="117" t="s">
        <v>104</v>
      </c>
      <c r="C51" s="118" t="s">
        <v>57</v>
      </c>
      <c r="D51" s="126">
        <v>150</v>
      </c>
      <c r="E51" s="130">
        <v>8000</v>
      </c>
      <c r="F51" s="130">
        <v>8000</v>
      </c>
      <c r="G51" s="130">
        <v>8000</v>
      </c>
      <c r="H51" s="117" t="s">
        <v>265</v>
      </c>
      <c r="I51" s="117" t="s">
        <v>99</v>
      </c>
    </row>
    <row r="52" spans="1:9" s="27" customFormat="1" ht="14.5" x14ac:dyDescent="0.35">
      <c r="A52" s="117" t="s">
        <v>105</v>
      </c>
      <c r="B52" s="117" t="s">
        <v>266</v>
      </c>
      <c r="C52" s="118" t="s">
        <v>66</v>
      </c>
      <c r="D52" s="126">
        <v>180</v>
      </c>
      <c r="E52" s="130">
        <v>6000</v>
      </c>
      <c r="F52" s="130">
        <v>6000</v>
      </c>
      <c r="G52" s="130">
        <v>6000</v>
      </c>
      <c r="H52" s="117" t="s">
        <v>147</v>
      </c>
      <c r="I52" s="117" t="s">
        <v>155</v>
      </c>
    </row>
    <row r="53" spans="1:9" s="27" customFormat="1" ht="14.5" x14ac:dyDescent="0.35">
      <c r="A53" s="117" t="s">
        <v>105</v>
      </c>
      <c r="B53" s="117" t="s">
        <v>208</v>
      </c>
      <c r="C53" s="118" t="s">
        <v>82</v>
      </c>
      <c r="D53" s="126">
        <v>150</v>
      </c>
      <c r="E53" s="130">
        <v>8000</v>
      </c>
      <c r="F53" s="130">
        <v>8000</v>
      </c>
      <c r="G53" s="130">
        <v>8000</v>
      </c>
      <c r="H53" s="117" t="s">
        <v>247</v>
      </c>
      <c r="I53" s="117" t="s">
        <v>99</v>
      </c>
    </row>
    <row r="54" spans="1:9" s="27" customFormat="1" ht="14.5" x14ac:dyDescent="0.35">
      <c r="A54" s="117" t="s">
        <v>105</v>
      </c>
      <c r="B54" s="117" t="s">
        <v>208</v>
      </c>
      <c r="C54" s="118" t="s">
        <v>82</v>
      </c>
      <c r="D54" s="126">
        <v>300</v>
      </c>
      <c r="E54" s="130">
        <v>8000</v>
      </c>
      <c r="F54" s="130">
        <v>7000</v>
      </c>
      <c r="G54" s="130">
        <v>7500</v>
      </c>
      <c r="H54" s="117" t="s">
        <v>147</v>
      </c>
      <c r="I54" s="117" t="s">
        <v>143</v>
      </c>
    </row>
    <row r="55" spans="1:9" s="27" customFormat="1" ht="14.5" x14ac:dyDescent="0.35">
      <c r="A55" s="117" t="s">
        <v>105</v>
      </c>
      <c r="B55" s="117" t="s">
        <v>208</v>
      </c>
      <c r="C55" s="118" t="s">
        <v>66</v>
      </c>
      <c r="D55" s="126">
        <v>150</v>
      </c>
      <c r="E55" s="130">
        <v>6000</v>
      </c>
      <c r="F55" s="130">
        <v>6000</v>
      </c>
      <c r="G55" s="130">
        <v>6000</v>
      </c>
      <c r="H55" s="117" t="s">
        <v>247</v>
      </c>
      <c r="I55" s="117" t="s">
        <v>99</v>
      </c>
    </row>
    <row r="56" spans="1:9" s="27" customFormat="1" ht="14.5" x14ac:dyDescent="0.35">
      <c r="A56" s="117" t="s">
        <v>105</v>
      </c>
      <c r="B56" s="117" t="s">
        <v>208</v>
      </c>
      <c r="C56" s="118" t="s">
        <v>66</v>
      </c>
      <c r="D56" s="126">
        <v>200</v>
      </c>
      <c r="E56" s="130">
        <v>6000</v>
      </c>
      <c r="F56" s="130">
        <v>5000</v>
      </c>
      <c r="G56" s="130">
        <v>5500</v>
      </c>
      <c r="H56" s="117" t="s">
        <v>147</v>
      </c>
      <c r="I56" s="117" t="s">
        <v>143</v>
      </c>
    </row>
    <row r="57" spans="1:9" s="27" customFormat="1" ht="14.5" x14ac:dyDescent="0.35">
      <c r="A57" s="117" t="s">
        <v>105</v>
      </c>
      <c r="B57" s="117" t="s">
        <v>208</v>
      </c>
      <c r="C57" s="118" t="s">
        <v>66</v>
      </c>
      <c r="D57" s="126">
        <v>150</v>
      </c>
      <c r="E57" s="130">
        <v>6000</v>
      </c>
      <c r="F57" s="130">
        <v>6000</v>
      </c>
      <c r="G57" s="130">
        <v>6000</v>
      </c>
      <c r="H57" s="117" t="s">
        <v>147</v>
      </c>
      <c r="I57" s="117" t="s">
        <v>99</v>
      </c>
    </row>
    <row r="58" spans="1:9" s="27" customFormat="1" ht="14.5" x14ac:dyDescent="0.35">
      <c r="A58" s="117" t="s">
        <v>105</v>
      </c>
      <c r="B58" s="117" t="s">
        <v>208</v>
      </c>
      <c r="C58" s="118" t="s">
        <v>57</v>
      </c>
      <c r="D58" s="126">
        <v>120</v>
      </c>
      <c r="E58" s="130">
        <v>4000</v>
      </c>
      <c r="F58" s="130">
        <v>4000</v>
      </c>
      <c r="G58" s="130">
        <v>4000</v>
      </c>
      <c r="H58" s="117" t="s">
        <v>247</v>
      </c>
      <c r="I58" s="117" t="s">
        <v>99</v>
      </c>
    </row>
    <row r="59" spans="1:9" s="27" customFormat="1" ht="14.5" x14ac:dyDescent="0.35">
      <c r="A59" s="117" t="s">
        <v>105</v>
      </c>
      <c r="B59" s="117" t="s">
        <v>208</v>
      </c>
      <c r="C59" s="118" t="s">
        <v>57</v>
      </c>
      <c r="D59" s="126">
        <v>100</v>
      </c>
      <c r="E59" s="130">
        <v>4000</v>
      </c>
      <c r="F59" s="130">
        <v>4000</v>
      </c>
      <c r="G59" s="130">
        <v>4000</v>
      </c>
      <c r="H59" s="117" t="s">
        <v>147</v>
      </c>
      <c r="I59" s="117" t="s">
        <v>143</v>
      </c>
    </row>
    <row r="60" spans="1:9" s="27" customFormat="1" ht="14.5" x14ac:dyDescent="0.35">
      <c r="A60" s="117" t="s">
        <v>105</v>
      </c>
      <c r="B60" s="117" t="s">
        <v>208</v>
      </c>
      <c r="C60" s="118" t="s">
        <v>57</v>
      </c>
      <c r="D60" s="126">
        <v>120</v>
      </c>
      <c r="E60" s="130">
        <v>4000</v>
      </c>
      <c r="F60" s="130">
        <v>4000</v>
      </c>
      <c r="G60" s="130">
        <v>4000</v>
      </c>
      <c r="H60" s="117" t="s">
        <v>147</v>
      </c>
      <c r="I60" s="117" t="s">
        <v>99</v>
      </c>
    </row>
    <row r="61" spans="1:9" s="27" customFormat="1" ht="14.5" x14ac:dyDescent="0.35">
      <c r="A61" s="117" t="s">
        <v>105</v>
      </c>
      <c r="B61" s="117" t="s">
        <v>108</v>
      </c>
      <c r="C61" s="118" t="s">
        <v>66</v>
      </c>
      <c r="D61" s="126">
        <v>300</v>
      </c>
      <c r="E61" s="130">
        <v>6000</v>
      </c>
      <c r="F61" s="130">
        <v>5000</v>
      </c>
      <c r="G61" s="130">
        <v>5500</v>
      </c>
      <c r="H61" s="117" t="s">
        <v>147</v>
      </c>
      <c r="I61" s="117" t="s">
        <v>143</v>
      </c>
    </row>
    <row r="62" spans="1:9" s="27" customFormat="1" ht="14.5" x14ac:dyDescent="0.35">
      <c r="A62" s="117" t="s">
        <v>109</v>
      </c>
      <c r="B62" s="117" t="s">
        <v>267</v>
      </c>
      <c r="C62" s="118" t="s">
        <v>82</v>
      </c>
      <c r="D62" s="126">
        <v>120</v>
      </c>
      <c r="E62" s="130">
        <v>2200</v>
      </c>
      <c r="F62" s="130">
        <v>2200</v>
      </c>
      <c r="G62" s="130">
        <v>2200</v>
      </c>
      <c r="H62" s="117" t="s">
        <v>210</v>
      </c>
      <c r="I62" s="117" t="s">
        <v>143</v>
      </c>
    </row>
    <row r="63" spans="1:9" s="27" customFormat="1" ht="14.5" x14ac:dyDescent="0.35">
      <c r="A63" s="117" t="s">
        <v>109</v>
      </c>
      <c r="B63" s="117" t="s">
        <v>267</v>
      </c>
      <c r="C63" s="118" t="s">
        <v>66</v>
      </c>
      <c r="D63" s="126">
        <v>150</v>
      </c>
      <c r="E63" s="130">
        <v>2000</v>
      </c>
      <c r="F63" s="130">
        <v>2000</v>
      </c>
      <c r="G63" s="130">
        <v>2000</v>
      </c>
      <c r="H63" s="117" t="s">
        <v>210</v>
      </c>
      <c r="I63" s="117" t="s">
        <v>143</v>
      </c>
    </row>
    <row r="64" spans="1:9" s="27" customFormat="1" ht="14.5" x14ac:dyDescent="0.35">
      <c r="A64" s="117" t="s">
        <v>109</v>
      </c>
      <c r="B64" s="117" t="s">
        <v>267</v>
      </c>
      <c r="C64" s="118" t="s">
        <v>57</v>
      </c>
      <c r="D64" s="126">
        <v>120</v>
      </c>
      <c r="E64" s="130">
        <v>1800</v>
      </c>
      <c r="F64" s="130">
        <v>1800</v>
      </c>
      <c r="G64" s="130">
        <v>1800</v>
      </c>
      <c r="H64" s="117" t="s">
        <v>210</v>
      </c>
      <c r="I64" s="117" t="s">
        <v>143</v>
      </c>
    </row>
    <row r="65" spans="1:9" s="27" customFormat="1" ht="14.5" x14ac:dyDescent="0.35">
      <c r="A65" s="117" t="s">
        <v>109</v>
      </c>
      <c r="B65" s="117" t="s">
        <v>267</v>
      </c>
      <c r="C65" s="118" t="s">
        <v>68</v>
      </c>
      <c r="D65" s="126">
        <v>120</v>
      </c>
      <c r="E65" s="130">
        <v>1500</v>
      </c>
      <c r="F65" s="130">
        <v>1500</v>
      </c>
      <c r="G65" s="130">
        <v>1500</v>
      </c>
      <c r="H65" s="117" t="s">
        <v>210</v>
      </c>
      <c r="I65" s="117" t="s">
        <v>143</v>
      </c>
    </row>
    <row r="66" spans="1:9" s="27" customFormat="1" ht="14.5" x14ac:dyDescent="0.35">
      <c r="A66" s="117" t="s">
        <v>109</v>
      </c>
      <c r="B66" s="117" t="s">
        <v>110</v>
      </c>
      <c r="C66" s="118" t="s">
        <v>82</v>
      </c>
      <c r="D66" s="126">
        <v>840</v>
      </c>
      <c r="E66" s="130">
        <v>30000</v>
      </c>
      <c r="F66" s="130">
        <v>30000</v>
      </c>
      <c r="G66" s="130">
        <v>30000</v>
      </c>
      <c r="H66" s="117" t="s">
        <v>83</v>
      </c>
      <c r="I66" s="117" t="s">
        <v>59</v>
      </c>
    </row>
    <row r="67" spans="1:9" s="27" customFormat="1" ht="14.5" x14ac:dyDescent="0.35">
      <c r="A67" s="117" t="s">
        <v>109</v>
      </c>
      <c r="B67" s="117" t="s">
        <v>110</v>
      </c>
      <c r="C67" s="118" t="s">
        <v>102</v>
      </c>
      <c r="D67" s="126">
        <v>360</v>
      </c>
      <c r="E67" s="130">
        <v>32000</v>
      </c>
      <c r="F67" s="130">
        <v>32000</v>
      </c>
      <c r="G67" s="130">
        <v>32000</v>
      </c>
      <c r="H67" s="117" t="s">
        <v>83</v>
      </c>
      <c r="I67" s="117" t="s">
        <v>59</v>
      </c>
    </row>
    <row r="68" spans="1:9" s="27" customFormat="1" ht="14.5" x14ac:dyDescent="0.35">
      <c r="A68" s="117" t="s">
        <v>109</v>
      </c>
      <c r="B68" s="117" t="s">
        <v>110</v>
      </c>
      <c r="C68" s="118" t="s">
        <v>66</v>
      </c>
      <c r="D68" s="126">
        <v>720</v>
      </c>
      <c r="E68" s="130">
        <v>28000</v>
      </c>
      <c r="F68" s="130">
        <v>28000</v>
      </c>
      <c r="G68" s="130">
        <v>28000</v>
      </c>
      <c r="H68" s="117" t="s">
        <v>83</v>
      </c>
      <c r="I68" s="117" t="s">
        <v>59</v>
      </c>
    </row>
    <row r="69" spans="1:9" s="27" customFormat="1" ht="14.5" x14ac:dyDescent="0.35">
      <c r="A69" s="117" t="s">
        <v>109</v>
      </c>
      <c r="B69" s="117" t="s">
        <v>110</v>
      </c>
      <c r="C69" s="118" t="s">
        <v>57</v>
      </c>
      <c r="D69" s="126">
        <v>600</v>
      </c>
      <c r="E69" s="130">
        <v>25000</v>
      </c>
      <c r="F69" s="130">
        <v>25000</v>
      </c>
      <c r="G69" s="130">
        <v>25000</v>
      </c>
      <c r="H69" s="117" t="s">
        <v>83</v>
      </c>
      <c r="I69" s="117" t="s">
        <v>59</v>
      </c>
    </row>
    <row r="70" spans="1:9" s="27" customFormat="1" ht="14.5" x14ac:dyDescent="0.35">
      <c r="A70" s="117" t="s">
        <v>109</v>
      </c>
      <c r="B70" s="117" t="s">
        <v>110</v>
      </c>
      <c r="C70" s="118" t="s">
        <v>68</v>
      </c>
      <c r="D70" s="126">
        <v>360</v>
      </c>
      <c r="E70" s="130">
        <v>22000</v>
      </c>
      <c r="F70" s="130">
        <v>22000</v>
      </c>
      <c r="G70" s="130">
        <v>22000</v>
      </c>
      <c r="H70" s="117" t="s">
        <v>83</v>
      </c>
      <c r="I70" s="117" t="s">
        <v>59</v>
      </c>
    </row>
    <row r="71" spans="1:9" s="27" customFormat="1" ht="14.5" x14ac:dyDescent="0.35">
      <c r="A71" s="117" t="s">
        <v>109</v>
      </c>
      <c r="B71" s="117" t="s">
        <v>209</v>
      </c>
      <c r="C71" s="118" t="s">
        <v>82</v>
      </c>
      <c r="D71" s="126">
        <v>180</v>
      </c>
      <c r="E71" s="130">
        <v>1600</v>
      </c>
      <c r="F71" s="130">
        <v>1600</v>
      </c>
      <c r="G71" s="130">
        <v>1600</v>
      </c>
      <c r="H71" s="117" t="s">
        <v>210</v>
      </c>
      <c r="I71" s="117" t="s">
        <v>143</v>
      </c>
    </row>
    <row r="72" spans="1:9" s="27" customFormat="1" ht="14.5" x14ac:dyDescent="0.35">
      <c r="A72" s="117" t="s">
        <v>109</v>
      </c>
      <c r="B72" s="117" t="s">
        <v>209</v>
      </c>
      <c r="C72" s="118" t="s">
        <v>102</v>
      </c>
      <c r="D72" s="126">
        <v>150</v>
      </c>
      <c r="E72" s="130">
        <v>1800</v>
      </c>
      <c r="F72" s="130">
        <v>1800</v>
      </c>
      <c r="G72" s="130">
        <v>1800</v>
      </c>
      <c r="H72" s="117" t="s">
        <v>210</v>
      </c>
      <c r="I72" s="117" t="s">
        <v>143</v>
      </c>
    </row>
    <row r="73" spans="1:9" s="27" customFormat="1" ht="14.5" x14ac:dyDescent="0.35">
      <c r="A73" s="117" t="s">
        <v>109</v>
      </c>
      <c r="B73" s="117" t="s">
        <v>209</v>
      </c>
      <c r="C73" s="118" t="s">
        <v>66</v>
      </c>
      <c r="D73" s="126">
        <v>180</v>
      </c>
      <c r="E73" s="130">
        <v>1400</v>
      </c>
      <c r="F73" s="130">
        <v>1400</v>
      </c>
      <c r="G73" s="130">
        <v>1400</v>
      </c>
      <c r="H73" s="117" t="s">
        <v>210</v>
      </c>
      <c r="I73" s="117" t="s">
        <v>143</v>
      </c>
    </row>
    <row r="74" spans="1:9" s="27" customFormat="1" ht="14.5" x14ac:dyDescent="0.35">
      <c r="A74" s="117" t="s">
        <v>109</v>
      </c>
      <c r="B74" s="117" t="s">
        <v>209</v>
      </c>
      <c r="C74" s="118" t="s">
        <v>57</v>
      </c>
      <c r="D74" s="126">
        <v>150</v>
      </c>
      <c r="E74" s="130">
        <v>1200</v>
      </c>
      <c r="F74" s="130">
        <v>1200</v>
      </c>
      <c r="G74" s="130">
        <v>1200</v>
      </c>
      <c r="H74" s="117" t="s">
        <v>210</v>
      </c>
      <c r="I74" s="117" t="s">
        <v>143</v>
      </c>
    </row>
    <row r="75" spans="1:9" s="27" customFormat="1" ht="14.5" x14ac:dyDescent="0.35">
      <c r="A75" s="117" t="s">
        <v>109</v>
      </c>
      <c r="B75" s="117" t="s">
        <v>209</v>
      </c>
      <c r="C75" s="118" t="s">
        <v>68</v>
      </c>
      <c r="D75" s="126">
        <v>120</v>
      </c>
      <c r="E75" s="130">
        <v>1000</v>
      </c>
      <c r="F75" s="130">
        <v>1000</v>
      </c>
      <c r="G75" s="130">
        <v>1000</v>
      </c>
      <c r="H75" s="117" t="s">
        <v>210</v>
      </c>
      <c r="I75" s="117" t="s">
        <v>143</v>
      </c>
    </row>
    <row r="76" spans="1:9" s="27" customFormat="1" ht="14.5" x14ac:dyDescent="0.35">
      <c r="A76" s="117" t="s">
        <v>112</v>
      </c>
      <c r="B76" s="117" t="s">
        <v>213</v>
      </c>
      <c r="C76" s="118" t="s">
        <v>82</v>
      </c>
      <c r="D76" s="126">
        <v>150</v>
      </c>
      <c r="E76" s="130">
        <v>14000</v>
      </c>
      <c r="F76" s="130">
        <v>14000</v>
      </c>
      <c r="G76" s="130">
        <v>14000</v>
      </c>
      <c r="H76" s="117" t="s">
        <v>265</v>
      </c>
      <c r="I76" s="117" t="s">
        <v>99</v>
      </c>
    </row>
    <row r="77" spans="1:9" s="27" customFormat="1" ht="14.5" x14ac:dyDescent="0.35">
      <c r="A77" s="117" t="s">
        <v>112</v>
      </c>
      <c r="B77" s="117" t="s">
        <v>213</v>
      </c>
      <c r="C77" s="118" t="s">
        <v>66</v>
      </c>
      <c r="D77" s="126">
        <v>250</v>
      </c>
      <c r="E77" s="130">
        <v>12000</v>
      </c>
      <c r="F77" s="130">
        <v>11000</v>
      </c>
      <c r="G77" s="130">
        <v>11500</v>
      </c>
      <c r="H77" s="117" t="s">
        <v>265</v>
      </c>
      <c r="I77" s="117" t="s">
        <v>99</v>
      </c>
    </row>
    <row r="78" spans="1:9" s="27" customFormat="1" ht="14.5" x14ac:dyDescent="0.35">
      <c r="A78" s="117" t="s">
        <v>112</v>
      </c>
      <c r="B78" s="117" t="s">
        <v>113</v>
      </c>
      <c r="C78" s="118" t="s">
        <v>82</v>
      </c>
      <c r="D78" s="126">
        <v>150</v>
      </c>
      <c r="E78" s="130">
        <v>16000</v>
      </c>
      <c r="F78" s="130">
        <v>16000</v>
      </c>
      <c r="G78" s="130">
        <v>16000</v>
      </c>
      <c r="H78" s="117" t="s">
        <v>212</v>
      </c>
      <c r="I78" s="117" t="s">
        <v>99</v>
      </c>
    </row>
    <row r="79" spans="1:9" s="27" customFormat="1" ht="14.5" x14ac:dyDescent="0.35">
      <c r="A79" s="117" t="s">
        <v>112</v>
      </c>
      <c r="B79" s="117" t="s">
        <v>113</v>
      </c>
      <c r="C79" s="118" t="s">
        <v>66</v>
      </c>
      <c r="D79" s="126">
        <v>180</v>
      </c>
      <c r="E79" s="130">
        <v>14000</v>
      </c>
      <c r="F79" s="130">
        <v>14000</v>
      </c>
      <c r="G79" s="130">
        <v>14000</v>
      </c>
      <c r="H79" s="117" t="s">
        <v>212</v>
      </c>
      <c r="I79" s="117" t="s">
        <v>99</v>
      </c>
    </row>
    <row r="80" spans="1:9" s="27" customFormat="1" ht="14.5" x14ac:dyDescent="0.35">
      <c r="A80" s="117" t="s">
        <v>112</v>
      </c>
      <c r="B80" s="117" t="s">
        <v>113</v>
      </c>
      <c r="C80" s="118" t="s">
        <v>57</v>
      </c>
      <c r="D80" s="126">
        <v>150</v>
      </c>
      <c r="E80" s="130">
        <v>12000</v>
      </c>
      <c r="F80" s="130">
        <v>12000</v>
      </c>
      <c r="G80" s="130">
        <v>12000</v>
      </c>
      <c r="H80" s="117" t="s">
        <v>212</v>
      </c>
      <c r="I80" s="117" t="s">
        <v>99</v>
      </c>
    </row>
    <row r="81" spans="1:9" s="27" customFormat="1" ht="14.5" x14ac:dyDescent="0.35">
      <c r="A81" s="117" t="s">
        <v>112</v>
      </c>
      <c r="B81" s="117" t="s">
        <v>229</v>
      </c>
      <c r="C81" s="118" t="s">
        <v>82</v>
      </c>
      <c r="D81" s="126">
        <v>120</v>
      </c>
      <c r="E81" s="130">
        <v>16000</v>
      </c>
      <c r="F81" s="130">
        <v>16000</v>
      </c>
      <c r="G81" s="130">
        <v>16000</v>
      </c>
      <c r="H81" s="117" t="s">
        <v>265</v>
      </c>
      <c r="I81" s="117" t="s">
        <v>99</v>
      </c>
    </row>
    <row r="82" spans="1:9" s="27" customFormat="1" ht="14.5" x14ac:dyDescent="0.35">
      <c r="A82" s="117" t="s">
        <v>112</v>
      </c>
      <c r="B82" s="117" t="s">
        <v>229</v>
      </c>
      <c r="C82" s="118" t="s">
        <v>66</v>
      </c>
      <c r="D82" s="126">
        <v>150</v>
      </c>
      <c r="E82" s="130">
        <v>14000</v>
      </c>
      <c r="F82" s="130">
        <v>14000</v>
      </c>
      <c r="G82" s="130">
        <v>14000</v>
      </c>
      <c r="H82" s="117" t="s">
        <v>265</v>
      </c>
      <c r="I82" s="117" t="s">
        <v>99</v>
      </c>
    </row>
    <row r="83" spans="1:9" s="27" customFormat="1" ht="14.5" x14ac:dyDescent="0.35">
      <c r="A83" s="117" t="s">
        <v>112</v>
      </c>
      <c r="B83" s="117" t="s">
        <v>229</v>
      </c>
      <c r="C83" s="118" t="s">
        <v>57</v>
      </c>
      <c r="D83" s="126">
        <v>100</v>
      </c>
      <c r="E83" s="130">
        <v>12000</v>
      </c>
      <c r="F83" s="130">
        <v>12000</v>
      </c>
      <c r="G83" s="130">
        <v>12000</v>
      </c>
      <c r="H83" s="117" t="s">
        <v>265</v>
      </c>
      <c r="I83" s="117" t="s">
        <v>99</v>
      </c>
    </row>
    <row r="84" spans="1:9" s="27" customFormat="1" ht="14.5" x14ac:dyDescent="0.35">
      <c r="A84" s="117" t="s">
        <v>114</v>
      </c>
      <c r="B84" s="117" t="s">
        <v>115</v>
      </c>
      <c r="C84" s="118" t="s">
        <v>82</v>
      </c>
      <c r="D84" s="126">
        <v>162</v>
      </c>
      <c r="E84" s="130">
        <v>26000</v>
      </c>
      <c r="F84" s="130">
        <v>26000</v>
      </c>
      <c r="G84" s="130">
        <v>26000</v>
      </c>
      <c r="H84" s="117" t="s">
        <v>158</v>
      </c>
      <c r="I84" s="117" t="s">
        <v>117</v>
      </c>
    </row>
    <row r="85" spans="1:9" s="27" customFormat="1" ht="14.5" x14ac:dyDescent="0.35">
      <c r="A85" s="117" t="s">
        <v>114</v>
      </c>
      <c r="B85" s="117" t="s">
        <v>115</v>
      </c>
      <c r="C85" s="118" t="s">
        <v>66</v>
      </c>
      <c r="D85" s="126">
        <v>162</v>
      </c>
      <c r="E85" s="130">
        <v>27000</v>
      </c>
      <c r="F85" s="130">
        <v>26000</v>
      </c>
      <c r="G85" s="130">
        <v>26667</v>
      </c>
      <c r="H85" s="117" t="s">
        <v>71</v>
      </c>
      <c r="I85" s="117" t="s">
        <v>117</v>
      </c>
    </row>
    <row r="86" spans="1:9" s="27" customFormat="1" ht="14.5" x14ac:dyDescent="0.35">
      <c r="A86" s="117" t="s">
        <v>114</v>
      </c>
      <c r="B86" s="117" t="s">
        <v>115</v>
      </c>
      <c r="C86" s="118" t="s">
        <v>57</v>
      </c>
      <c r="D86" s="126">
        <v>162</v>
      </c>
      <c r="E86" s="130">
        <v>27000</v>
      </c>
      <c r="F86" s="130">
        <v>26000</v>
      </c>
      <c r="G86" s="130">
        <v>26667</v>
      </c>
      <c r="H86" s="117" t="s">
        <v>232</v>
      </c>
      <c r="I86" s="117" t="s">
        <v>117</v>
      </c>
    </row>
    <row r="87" spans="1:9" s="27" customFormat="1" ht="14.5" x14ac:dyDescent="0.35">
      <c r="A87" s="117" t="s">
        <v>114</v>
      </c>
      <c r="B87" s="117" t="s">
        <v>115</v>
      </c>
      <c r="C87" s="118" t="s">
        <v>68</v>
      </c>
      <c r="D87" s="126">
        <v>162</v>
      </c>
      <c r="E87" s="130">
        <v>27000</v>
      </c>
      <c r="F87" s="130">
        <v>26000</v>
      </c>
      <c r="G87" s="130">
        <v>26667</v>
      </c>
      <c r="H87" s="117" t="s">
        <v>233</v>
      </c>
      <c r="I87" s="117" t="s">
        <v>117</v>
      </c>
    </row>
    <row r="88" spans="1:9" s="27" customFormat="1" ht="14.5" x14ac:dyDescent="0.35">
      <c r="A88" s="117" t="s">
        <v>119</v>
      </c>
      <c r="B88" s="117" t="s">
        <v>268</v>
      </c>
      <c r="C88" s="118" t="s">
        <v>269</v>
      </c>
      <c r="D88" s="126">
        <v>540</v>
      </c>
      <c r="E88" s="130">
        <v>25000</v>
      </c>
      <c r="F88" s="130">
        <v>25000</v>
      </c>
      <c r="G88" s="130">
        <v>25000</v>
      </c>
      <c r="H88" s="117" t="s">
        <v>121</v>
      </c>
      <c r="I88" s="117" t="s">
        <v>117</v>
      </c>
    </row>
    <row r="89" spans="1:9" s="27" customFormat="1" ht="14.5" x14ac:dyDescent="0.35">
      <c r="A89" s="117" t="s">
        <v>119</v>
      </c>
      <c r="B89" s="117" t="s">
        <v>268</v>
      </c>
      <c r="C89" s="118" t="s">
        <v>270</v>
      </c>
      <c r="D89" s="126">
        <v>540</v>
      </c>
      <c r="E89" s="130">
        <v>24000</v>
      </c>
      <c r="F89" s="130">
        <v>24000</v>
      </c>
      <c r="G89" s="130">
        <v>24000</v>
      </c>
      <c r="H89" s="117" t="s">
        <v>121</v>
      </c>
      <c r="I89" s="117" t="s">
        <v>117</v>
      </c>
    </row>
    <row r="90" spans="1:9" s="27" customFormat="1" ht="14.5" x14ac:dyDescent="0.35">
      <c r="A90" s="117" t="s">
        <v>119</v>
      </c>
      <c r="B90" s="117" t="s">
        <v>65</v>
      </c>
      <c r="C90" s="118" t="s">
        <v>234</v>
      </c>
      <c r="D90" s="126">
        <v>1120</v>
      </c>
      <c r="E90" s="130">
        <v>15000</v>
      </c>
      <c r="F90" s="130">
        <v>14000</v>
      </c>
      <c r="G90" s="130">
        <v>14500</v>
      </c>
      <c r="H90" s="117" t="s">
        <v>121</v>
      </c>
      <c r="I90" s="117" t="s">
        <v>117</v>
      </c>
    </row>
    <row r="91" spans="1:9" s="27" customFormat="1" ht="14.5" x14ac:dyDescent="0.35">
      <c r="A91" s="117" t="s">
        <v>119</v>
      </c>
      <c r="B91" s="117" t="s">
        <v>65</v>
      </c>
      <c r="C91" s="118" t="s">
        <v>122</v>
      </c>
      <c r="D91" s="126">
        <v>1360</v>
      </c>
      <c r="E91" s="130">
        <v>16000</v>
      </c>
      <c r="F91" s="130">
        <v>15000</v>
      </c>
      <c r="G91" s="130">
        <v>15500</v>
      </c>
      <c r="H91" s="117" t="s">
        <v>121</v>
      </c>
      <c r="I91" s="117" t="s">
        <v>117</v>
      </c>
    </row>
    <row r="92" spans="1:9" s="27" customFormat="1" ht="14.5" x14ac:dyDescent="0.35">
      <c r="A92" s="117" t="s">
        <v>271</v>
      </c>
      <c r="B92" s="117" t="s">
        <v>65</v>
      </c>
      <c r="C92" s="118" t="s">
        <v>82</v>
      </c>
      <c r="D92" s="126">
        <v>80</v>
      </c>
      <c r="E92" s="130">
        <v>30000</v>
      </c>
      <c r="F92" s="130">
        <v>30000</v>
      </c>
      <c r="G92" s="130">
        <v>30000</v>
      </c>
      <c r="H92" s="117" t="s">
        <v>272</v>
      </c>
      <c r="I92" s="117" t="s">
        <v>155</v>
      </c>
    </row>
    <row r="93" spans="1:9" s="27" customFormat="1" ht="14.5" x14ac:dyDescent="0.35">
      <c r="A93" s="117" t="s">
        <v>271</v>
      </c>
      <c r="B93" s="117" t="s">
        <v>65</v>
      </c>
      <c r="C93" s="118" t="s">
        <v>66</v>
      </c>
      <c r="D93" s="126">
        <v>50</v>
      </c>
      <c r="E93" s="130">
        <v>25000</v>
      </c>
      <c r="F93" s="130">
        <v>25000</v>
      </c>
      <c r="G93" s="130">
        <v>25000</v>
      </c>
      <c r="H93" s="117" t="s">
        <v>272</v>
      </c>
      <c r="I93" s="117" t="s">
        <v>155</v>
      </c>
    </row>
    <row r="94" spans="1:9" s="27" customFormat="1" ht="14.5" x14ac:dyDescent="0.35">
      <c r="A94" s="117" t="s">
        <v>271</v>
      </c>
      <c r="B94" s="117" t="s">
        <v>65</v>
      </c>
      <c r="C94" s="118" t="s">
        <v>57</v>
      </c>
      <c r="D94" s="126">
        <v>45</v>
      </c>
      <c r="E94" s="130">
        <v>20000</v>
      </c>
      <c r="F94" s="130">
        <v>20000</v>
      </c>
      <c r="G94" s="130">
        <v>20000</v>
      </c>
      <c r="H94" s="117" t="s">
        <v>272</v>
      </c>
      <c r="I94" s="117" t="s">
        <v>155</v>
      </c>
    </row>
    <row r="95" spans="1:9" s="27" customFormat="1" ht="14.5" x14ac:dyDescent="0.35">
      <c r="A95" s="117" t="s">
        <v>123</v>
      </c>
      <c r="B95" s="117" t="s">
        <v>273</v>
      </c>
      <c r="C95" s="118" t="s">
        <v>66</v>
      </c>
      <c r="D95" s="126">
        <v>150</v>
      </c>
      <c r="E95" s="130">
        <v>15000</v>
      </c>
      <c r="F95" s="130">
        <v>15000</v>
      </c>
      <c r="G95" s="130">
        <v>15000</v>
      </c>
      <c r="H95" s="117" t="s">
        <v>125</v>
      </c>
      <c r="I95" s="117" t="s">
        <v>99</v>
      </c>
    </row>
    <row r="96" spans="1:9" s="27" customFormat="1" ht="14.5" x14ac:dyDescent="0.35">
      <c r="A96" s="117" t="s">
        <v>123</v>
      </c>
      <c r="B96" s="117" t="s">
        <v>273</v>
      </c>
      <c r="C96" s="118" t="s">
        <v>57</v>
      </c>
      <c r="D96" s="126">
        <v>120</v>
      </c>
      <c r="E96" s="130">
        <v>12000</v>
      </c>
      <c r="F96" s="130">
        <v>12000</v>
      </c>
      <c r="G96" s="130">
        <v>12000</v>
      </c>
      <c r="H96" s="117" t="s">
        <v>125</v>
      </c>
      <c r="I96" s="117" t="s">
        <v>99</v>
      </c>
    </row>
    <row r="97" spans="1:9" s="27" customFormat="1" ht="14.5" x14ac:dyDescent="0.35">
      <c r="A97" s="117" t="s">
        <v>123</v>
      </c>
      <c r="B97" s="117" t="s">
        <v>124</v>
      </c>
      <c r="C97" s="118" t="s">
        <v>66</v>
      </c>
      <c r="D97" s="126">
        <v>150</v>
      </c>
      <c r="E97" s="130">
        <v>15000</v>
      </c>
      <c r="F97" s="130">
        <v>15000</v>
      </c>
      <c r="G97" s="130">
        <v>15000</v>
      </c>
      <c r="H97" s="117" t="s">
        <v>125</v>
      </c>
      <c r="I97" s="117" t="s">
        <v>99</v>
      </c>
    </row>
    <row r="98" spans="1:9" s="27" customFormat="1" ht="15" thickBot="1" x14ac:dyDescent="0.4">
      <c r="A98" s="123" t="s">
        <v>123</v>
      </c>
      <c r="B98" s="123" t="s">
        <v>274</v>
      </c>
      <c r="C98" s="124" t="s">
        <v>66</v>
      </c>
      <c r="D98" s="127">
        <v>100</v>
      </c>
      <c r="E98" s="131">
        <v>30000</v>
      </c>
      <c r="F98" s="131">
        <v>30000</v>
      </c>
      <c r="G98" s="131">
        <v>30000</v>
      </c>
      <c r="H98" s="123" t="s">
        <v>83</v>
      </c>
      <c r="I98" s="123" t="s">
        <v>99</v>
      </c>
    </row>
    <row r="99" spans="1:9" s="27" customFormat="1" ht="14.5" x14ac:dyDescent="0.35">
      <c r="A99" s="128" t="s">
        <v>310</v>
      </c>
      <c r="B99" s="77"/>
      <c r="C99" s="114"/>
      <c r="D99" s="116"/>
      <c r="E99" s="129"/>
      <c r="F99" s="129"/>
      <c r="G99" s="129"/>
      <c r="H99" s="77"/>
      <c r="I99" s="77"/>
    </row>
    <row r="100" spans="1:9" s="27" customFormat="1" ht="14.5" x14ac:dyDescent="0.35">
      <c r="C100" s="69"/>
      <c r="D100" s="71"/>
      <c r="E100" s="72"/>
      <c r="F100" s="72"/>
      <c r="G100" s="72"/>
    </row>
    <row r="101" spans="1:9" s="27" customFormat="1" ht="14.5" x14ac:dyDescent="0.35">
      <c r="C101" s="69"/>
      <c r="D101" s="71"/>
      <c r="E101" s="72"/>
      <c r="F101" s="72"/>
      <c r="G101" s="72"/>
    </row>
    <row r="102" spans="1:9" s="27" customFormat="1" ht="14.5" x14ac:dyDescent="0.35">
      <c r="C102" s="69"/>
      <c r="D102" s="71"/>
      <c r="E102" s="72"/>
      <c r="F102" s="72"/>
      <c r="G102" s="72"/>
    </row>
    <row r="103" spans="1:9" s="27" customFormat="1" ht="14.5" x14ac:dyDescent="0.35">
      <c r="C103" s="69"/>
      <c r="D103" s="71"/>
      <c r="E103" s="72"/>
      <c r="F103" s="72"/>
      <c r="G103" s="72"/>
    </row>
    <row r="104" spans="1:9" s="27" customFormat="1" ht="14.5" x14ac:dyDescent="0.35">
      <c r="C104" s="69"/>
      <c r="D104" s="71"/>
      <c r="E104" s="72"/>
      <c r="F104" s="72"/>
      <c r="G104" s="72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1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46226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s="83" customFormat="1" ht="18.5" x14ac:dyDescent="0.45">
      <c r="C6" s="84"/>
      <c r="E6" s="88"/>
      <c r="F6" s="88"/>
      <c r="G6" s="88"/>
    </row>
    <row r="7" spans="1:9" s="83" customFormat="1" ht="18.5" x14ac:dyDescent="0.45">
      <c r="A7" s="86" t="s">
        <v>29</v>
      </c>
      <c r="B7" s="89"/>
      <c r="C7" s="90"/>
      <c r="D7" s="90"/>
      <c r="E7" s="91"/>
      <c r="F7" s="91"/>
      <c r="G7" s="91"/>
      <c r="H7" s="90"/>
      <c r="I7" s="90"/>
    </row>
    <row r="8" spans="1:9" s="83" customFormat="1" ht="19" thickBot="1" x14ac:dyDescent="0.5">
      <c r="A8" s="86"/>
      <c r="B8" s="89"/>
      <c r="C8" s="90"/>
      <c r="D8" s="90"/>
      <c r="E8" s="91"/>
      <c r="F8" s="91"/>
      <c r="G8" s="91"/>
      <c r="H8" s="90"/>
      <c r="I8" s="90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204</v>
      </c>
      <c r="B10" s="122" t="s">
        <v>65</v>
      </c>
      <c r="C10" s="122" t="s">
        <v>82</v>
      </c>
      <c r="D10" s="125">
        <v>80</v>
      </c>
      <c r="E10" s="125">
        <v>25000</v>
      </c>
      <c r="F10" s="125">
        <v>24000</v>
      </c>
      <c r="G10" s="125">
        <v>24375</v>
      </c>
      <c r="H10" s="122" t="s">
        <v>205</v>
      </c>
      <c r="I10" s="122" t="s">
        <v>155</v>
      </c>
    </row>
    <row r="11" spans="1:9" x14ac:dyDescent="0.35">
      <c r="A11" s="117" t="s">
        <v>80</v>
      </c>
      <c r="B11" s="117" t="s">
        <v>81</v>
      </c>
      <c r="C11" s="117" t="s">
        <v>66</v>
      </c>
      <c r="D11" s="126">
        <v>360</v>
      </c>
      <c r="E11" s="126">
        <v>15000</v>
      </c>
      <c r="F11" s="126">
        <v>15000</v>
      </c>
      <c r="G11" s="126">
        <v>15000</v>
      </c>
      <c r="H11" s="117" t="s">
        <v>177</v>
      </c>
      <c r="I11" s="117" t="s">
        <v>84</v>
      </c>
    </row>
    <row r="12" spans="1:9" x14ac:dyDescent="0.35">
      <c r="A12" s="117" t="s">
        <v>55</v>
      </c>
      <c r="B12" s="117" t="s">
        <v>65</v>
      </c>
      <c r="C12" s="117" t="s">
        <v>85</v>
      </c>
      <c r="D12" s="126">
        <v>300</v>
      </c>
      <c r="E12" s="126">
        <v>4000</v>
      </c>
      <c r="F12" s="126">
        <v>4000</v>
      </c>
      <c r="G12" s="126">
        <v>4000</v>
      </c>
      <c r="H12" s="117" t="s">
        <v>177</v>
      </c>
      <c r="I12" s="117" t="s">
        <v>99</v>
      </c>
    </row>
    <row r="13" spans="1:9" x14ac:dyDescent="0.35">
      <c r="A13" s="117" t="s">
        <v>55</v>
      </c>
      <c r="B13" s="117" t="s">
        <v>65</v>
      </c>
      <c r="C13" s="117" t="s">
        <v>85</v>
      </c>
      <c r="D13" s="126">
        <v>200</v>
      </c>
      <c r="E13" s="126">
        <v>2000</v>
      </c>
      <c r="F13" s="126">
        <v>2000</v>
      </c>
      <c r="G13" s="126">
        <v>2000</v>
      </c>
      <c r="H13" s="117" t="s">
        <v>206</v>
      </c>
      <c r="I13" s="117" t="s">
        <v>99</v>
      </c>
    </row>
    <row r="14" spans="1:9" x14ac:dyDescent="0.35">
      <c r="A14" s="117" t="s">
        <v>55</v>
      </c>
      <c r="B14" s="117" t="s">
        <v>65</v>
      </c>
      <c r="C14" s="117" t="s">
        <v>85</v>
      </c>
      <c r="D14" s="126">
        <v>360</v>
      </c>
      <c r="E14" s="126">
        <v>4000</v>
      </c>
      <c r="F14" s="126">
        <v>4000</v>
      </c>
      <c r="G14" s="126">
        <v>4000</v>
      </c>
      <c r="H14" s="117" t="s">
        <v>147</v>
      </c>
      <c r="I14" s="117" t="s">
        <v>207</v>
      </c>
    </row>
    <row r="15" spans="1:9" x14ac:dyDescent="0.35">
      <c r="A15" s="117" t="s">
        <v>95</v>
      </c>
      <c r="B15" s="117" t="s">
        <v>96</v>
      </c>
      <c r="C15" s="117" t="s">
        <v>82</v>
      </c>
      <c r="D15" s="126">
        <v>350</v>
      </c>
      <c r="E15" s="126">
        <v>12000</v>
      </c>
      <c r="F15" s="126">
        <v>12000</v>
      </c>
      <c r="G15" s="126">
        <v>12000</v>
      </c>
      <c r="H15" s="117" t="s">
        <v>101</v>
      </c>
      <c r="I15" s="117" t="s">
        <v>84</v>
      </c>
    </row>
    <row r="16" spans="1:9" x14ac:dyDescent="0.35">
      <c r="A16" s="117" t="s">
        <v>95</v>
      </c>
      <c r="B16" s="117" t="s">
        <v>103</v>
      </c>
      <c r="C16" s="117" t="s">
        <v>82</v>
      </c>
      <c r="D16" s="126">
        <v>280</v>
      </c>
      <c r="E16" s="126">
        <v>12000</v>
      </c>
      <c r="F16" s="126">
        <v>12000</v>
      </c>
      <c r="G16" s="126">
        <v>12000</v>
      </c>
      <c r="H16" s="117" t="s">
        <v>101</v>
      </c>
      <c r="I16" s="117" t="s">
        <v>84</v>
      </c>
    </row>
    <row r="17" spans="1:9" x14ac:dyDescent="0.35">
      <c r="A17" s="117" t="s">
        <v>95</v>
      </c>
      <c r="B17" s="117" t="s">
        <v>104</v>
      </c>
      <c r="C17" s="117" t="s">
        <v>82</v>
      </c>
      <c r="D17" s="126">
        <v>340</v>
      </c>
      <c r="E17" s="126">
        <v>11000</v>
      </c>
      <c r="F17" s="126">
        <v>11000</v>
      </c>
      <c r="G17" s="126">
        <v>11000</v>
      </c>
      <c r="H17" s="117" t="s">
        <v>101</v>
      </c>
      <c r="I17" s="117" t="s">
        <v>84</v>
      </c>
    </row>
    <row r="18" spans="1:9" x14ac:dyDescent="0.35">
      <c r="A18" s="117" t="s">
        <v>95</v>
      </c>
      <c r="B18" s="117" t="s">
        <v>104</v>
      </c>
      <c r="C18" s="117" t="s">
        <v>66</v>
      </c>
      <c r="D18" s="126">
        <v>290</v>
      </c>
      <c r="E18" s="126">
        <v>9000</v>
      </c>
      <c r="F18" s="126">
        <v>9000</v>
      </c>
      <c r="G18" s="126">
        <v>9000</v>
      </c>
      <c r="H18" s="117" t="s">
        <v>101</v>
      </c>
      <c r="I18" s="117" t="s">
        <v>84</v>
      </c>
    </row>
    <row r="19" spans="1:9" x14ac:dyDescent="0.35">
      <c r="A19" s="117" t="s">
        <v>105</v>
      </c>
      <c r="B19" s="117" t="s">
        <v>208</v>
      </c>
      <c r="C19" s="117" t="s">
        <v>66</v>
      </c>
      <c r="D19" s="126">
        <v>260</v>
      </c>
      <c r="E19" s="126">
        <v>6000</v>
      </c>
      <c r="F19" s="126">
        <v>6000</v>
      </c>
      <c r="G19" s="126">
        <v>6000</v>
      </c>
      <c r="H19" s="117" t="s">
        <v>101</v>
      </c>
      <c r="I19" s="117" t="s">
        <v>99</v>
      </c>
    </row>
    <row r="20" spans="1:9" x14ac:dyDescent="0.35">
      <c r="A20" s="117" t="s">
        <v>105</v>
      </c>
      <c r="B20" s="117" t="s">
        <v>106</v>
      </c>
      <c r="C20" s="117" t="s">
        <v>66</v>
      </c>
      <c r="D20" s="126">
        <v>300</v>
      </c>
      <c r="E20" s="126">
        <v>6000</v>
      </c>
      <c r="F20" s="126">
        <v>6000</v>
      </c>
      <c r="G20" s="126">
        <v>6000</v>
      </c>
      <c r="H20" s="117" t="s">
        <v>101</v>
      </c>
      <c r="I20" s="117" t="s">
        <v>99</v>
      </c>
    </row>
    <row r="21" spans="1:9" x14ac:dyDescent="0.35">
      <c r="A21" s="117" t="s">
        <v>109</v>
      </c>
      <c r="B21" s="117" t="s">
        <v>110</v>
      </c>
      <c r="C21" s="117" t="s">
        <v>82</v>
      </c>
      <c r="D21" s="126">
        <v>400</v>
      </c>
      <c r="E21" s="126">
        <v>28000</v>
      </c>
      <c r="F21" s="126">
        <v>28000</v>
      </c>
      <c r="G21" s="126">
        <v>28000</v>
      </c>
      <c r="H21" s="117" t="s">
        <v>83</v>
      </c>
      <c r="I21" s="117" t="s">
        <v>59</v>
      </c>
    </row>
    <row r="22" spans="1:9" x14ac:dyDescent="0.35">
      <c r="A22" s="117" t="s">
        <v>109</v>
      </c>
      <c r="B22" s="117" t="s">
        <v>110</v>
      </c>
      <c r="C22" s="117" t="s">
        <v>66</v>
      </c>
      <c r="D22" s="126">
        <v>550</v>
      </c>
      <c r="E22" s="126">
        <v>26000</v>
      </c>
      <c r="F22" s="126">
        <v>26000</v>
      </c>
      <c r="G22" s="126">
        <v>26000</v>
      </c>
      <c r="H22" s="117" t="s">
        <v>83</v>
      </c>
      <c r="I22" s="117" t="s">
        <v>59</v>
      </c>
    </row>
    <row r="23" spans="1:9" x14ac:dyDescent="0.35">
      <c r="A23" s="117" t="s">
        <v>109</v>
      </c>
      <c r="B23" s="117" t="s">
        <v>110</v>
      </c>
      <c r="C23" s="117" t="s">
        <v>57</v>
      </c>
      <c r="D23" s="126">
        <v>600</v>
      </c>
      <c r="E23" s="126">
        <v>24000</v>
      </c>
      <c r="F23" s="126">
        <v>24000</v>
      </c>
      <c r="G23" s="126">
        <v>24000</v>
      </c>
      <c r="H23" s="117" t="s">
        <v>83</v>
      </c>
      <c r="I23" s="117" t="s">
        <v>59</v>
      </c>
    </row>
    <row r="24" spans="1:9" x14ac:dyDescent="0.35">
      <c r="A24" s="117" t="s">
        <v>109</v>
      </c>
      <c r="B24" s="117" t="s">
        <v>209</v>
      </c>
      <c r="C24" s="117" t="s">
        <v>66</v>
      </c>
      <c r="D24" s="126">
        <v>100</v>
      </c>
      <c r="E24" s="126">
        <v>1800</v>
      </c>
      <c r="F24" s="126">
        <v>1800</v>
      </c>
      <c r="G24" s="126">
        <v>1800</v>
      </c>
      <c r="H24" s="117" t="s">
        <v>210</v>
      </c>
      <c r="I24" s="117" t="s">
        <v>99</v>
      </c>
    </row>
    <row r="25" spans="1:9" x14ac:dyDescent="0.35">
      <c r="A25" s="117" t="s">
        <v>109</v>
      </c>
      <c r="B25" s="117" t="s">
        <v>209</v>
      </c>
      <c r="C25" s="117" t="s">
        <v>57</v>
      </c>
      <c r="D25" s="126">
        <v>180</v>
      </c>
      <c r="E25" s="126">
        <v>1500</v>
      </c>
      <c r="F25" s="126">
        <v>1300</v>
      </c>
      <c r="G25" s="126">
        <v>1433</v>
      </c>
      <c r="H25" s="117" t="s">
        <v>210</v>
      </c>
      <c r="I25" s="117" t="s">
        <v>99</v>
      </c>
    </row>
    <row r="26" spans="1:9" x14ac:dyDescent="0.35">
      <c r="A26" s="117" t="s">
        <v>112</v>
      </c>
      <c r="B26" s="117" t="s">
        <v>211</v>
      </c>
      <c r="C26" s="117" t="s">
        <v>66</v>
      </c>
      <c r="D26" s="126">
        <v>360</v>
      </c>
      <c r="E26" s="126">
        <v>12000</v>
      </c>
      <c r="F26" s="126">
        <v>12000</v>
      </c>
      <c r="G26" s="126">
        <v>12000</v>
      </c>
      <c r="H26" s="117" t="s">
        <v>212</v>
      </c>
      <c r="I26" s="117" t="s">
        <v>84</v>
      </c>
    </row>
    <row r="27" spans="1:9" x14ac:dyDescent="0.35">
      <c r="A27" s="117" t="s">
        <v>112</v>
      </c>
      <c r="B27" s="117" t="s">
        <v>213</v>
      </c>
      <c r="C27" s="117" t="s">
        <v>82</v>
      </c>
      <c r="D27" s="126">
        <v>300</v>
      </c>
      <c r="E27" s="126">
        <v>15000</v>
      </c>
      <c r="F27" s="126">
        <v>15000</v>
      </c>
      <c r="G27" s="126">
        <v>15000</v>
      </c>
      <c r="H27" s="117" t="s">
        <v>212</v>
      </c>
      <c r="I27" s="117" t="s">
        <v>84</v>
      </c>
    </row>
    <row r="28" spans="1:9" x14ac:dyDescent="0.35">
      <c r="A28" s="117" t="s">
        <v>112</v>
      </c>
      <c r="B28" s="117" t="s">
        <v>213</v>
      </c>
      <c r="C28" s="117" t="s">
        <v>66</v>
      </c>
      <c r="D28" s="126">
        <v>260</v>
      </c>
      <c r="E28" s="126">
        <v>13000</v>
      </c>
      <c r="F28" s="126">
        <v>13000</v>
      </c>
      <c r="G28" s="126">
        <v>13000</v>
      </c>
      <c r="H28" s="117" t="s">
        <v>212</v>
      </c>
      <c r="I28" s="117" t="s">
        <v>84</v>
      </c>
    </row>
    <row r="29" spans="1:9" x14ac:dyDescent="0.35">
      <c r="A29" s="117" t="s">
        <v>112</v>
      </c>
      <c r="B29" s="117" t="s">
        <v>113</v>
      </c>
      <c r="C29" s="117" t="s">
        <v>66</v>
      </c>
      <c r="D29" s="126">
        <v>360</v>
      </c>
      <c r="E29" s="126">
        <v>12000</v>
      </c>
      <c r="F29" s="126">
        <v>12000</v>
      </c>
      <c r="G29" s="126">
        <v>12000</v>
      </c>
      <c r="H29" s="117" t="s">
        <v>212</v>
      </c>
      <c r="I29" s="117" t="s">
        <v>84</v>
      </c>
    </row>
    <row r="30" spans="1:9" x14ac:dyDescent="0.35">
      <c r="A30" s="117" t="s">
        <v>112</v>
      </c>
      <c r="B30" s="117" t="s">
        <v>113</v>
      </c>
      <c r="C30" s="117" t="s">
        <v>57</v>
      </c>
      <c r="D30" s="126">
        <v>300</v>
      </c>
      <c r="E30" s="126">
        <v>10000</v>
      </c>
      <c r="F30" s="126">
        <v>10000</v>
      </c>
      <c r="G30" s="126">
        <v>10000</v>
      </c>
      <c r="H30" s="117" t="s">
        <v>212</v>
      </c>
      <c r="I30" s="117" t="s">
        <v>84</v>
      </c>
    </row>
    <row r="31" spans="1:9" x14ac:dyDescent="0.35">
      <c r="A31" s="117" t="s">
        <v>119</v>
      </c>
      <c r="B31" s="117" t="s">
        <v>65</v>
      </c>
      <c r="C31" s="117" t="s">
        <v>122</v>
      </c>
      <c r="D31" s="126">
        <v>1000</v>
      </c>
      <c r="E31" s="126">
        <v>17000</v>
      </c>
      <c r="F31" s="126">
        <v>17000</v>
      </c>
      <c r="G31" s="126">
        <v>17000</v>
      </c>
      <c r="H31" s="117" t="s">
        <v>121</v>
      </c>
      <c r="I31" s="117" t="s">
        <v>117</v>
      </c>
    </row>
    <row r="32" spans="1:9" ht="15" thickBot="1" x14ac:dyDescent="0.4">
      <c r="A32" s="123" t="s">
        <v>123</v>
      </c>
      <c r="B32" s="123" t="s">
        <v>214</v>
      </c>
      <c r="C32" s="123" t="s">
        <v>66</v>
      </c>
      <c r="D32" s="127">
        <v>400</v>
      </c>
      <c r="E32" s="127">
        <v>18000</v>
      </c>
      <c r="F32" s="127">
        <v>18000</v>
      </c>
      <c r="G32" s="127">
        <v>18000</v>
      </c>
      <c r="H32" s="123" t="s">
        <v>125</v>
      </c>
      <c r="I32" s="123" t="s">
        <v>135</v>
      </c>
    </row>
    <row r="33" spans="1:9" x14ac:dyDescent="0.35">
      <c r="A33" s="128" t="s">
        <v>310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46226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s="83" customFormat="1" ht="18.5" x14ac:dyDescent="0.45">
      <c r="C6" s="84"/>
      <c r="E6" s="88"/>
      <c r="F6" s="88"/>
      <c r="G6" s="88"/>
    </row>
    <row r="7" spans="1:9" s="83" customFormat="1" ht="18.5" x14ac:dyDescent="0.45">
      <c r="A7" s="86" t="s">
        <v>32</v>
      </c>
      <c r="B7" s="89"/>
      <c r="C7" s="90"/>
      <c r="D7" s="90"/>
      <c r="E7" s="91"/>
      <c r="F7" s="91"/>
      <c r="G7" s="91"/>
      <c r="H7" s="90"/>
      <c r="I7" s="90"/>
    </row>
    <row r="8" spans="1:9" s="83" customFormat="1" ht="19" thickBot="1" x14ac:dyDescent="0.5">
      <c r="A8" s="86"/>
      <c r="B8" s="89"/>
      <c r="C8" s="90"/>
      <c r="D8" s="90"/>
      <c r="E8" s="91"/>
      <c r="F8" s="91"/>
      <c r="G8" s="91"/>
      <c r="H8" s="90"/>
      <c r="I8" s="90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80</v>
      </c>
      <c r="B10" s="122" t="s">
        <v>81</v>
      </c>
      <c r="C10" s="122" t="s">
        <v>82</v>
      </c>
      <c r="D10" s="125">
        <v>68</v>
      </c>
      <c r="E10" s="125">
        <v>14000</v>
      </c>
      <c r="F10" s="125">
        <v>14000</v>
      </c>
      <c r="G10" s="125">
        <v>14000</v>
      </c>
      <c r="H10" s="122" t="s">
        <v>83</v>
      </c>
      <c r="I10" s="122" t="s">
        <v>84</v>
      </c>
    </row>
    <row r="11" spans="1:9" x14ac:dyDescent="0.35">
      <c r="A11" s="117" t="s">
        <v>80</v>
      </c>
      <c r="B11" s="117" t="s">
        <v>81</v>
      </c>
      <c r="C11" s="117" t="s">
        <v>66</v>
      </c>
      <c r="D11" s="126">
        <v>70</v>
      </c>
      <c r="E11" s="126">
        <v>12000</v>
      </c>
      <c r="F11" s="126">
        <v>12000</v>
      </c>
      <c r="G11" s="126">
        <v>12000</v>
      </c>
      <c r="H11" s="117" t="s">
        <v>83</v>
      </c>
      <c r="I11" s="117" t="s">
        <v>84</v>
      </c>
    </row>
    <row r="12" spans="1:9" x14ac:dyDescent="0.35">
      <c r="A12" s="117" t="s">
        <v>80</v>
      </c>
      <c r="B12" s="117" t="s">
        <v>81</v>
      </c>
      <c r="C12" s="117" t="s">
        <v>57</v>
      </c>
      <c r="D12" s="126">
        <v>65</v>
      </c>
      <c r="E12" s="126">
        <v>10000</v>
      </c>
      <c r="F12" s="126">
        <v>10000</v>
      </c>
      <c r="G12" s="126">
        <v>10000</v>
      </c>
      <c r="H12" s="117" t="s">
        <v>83</v>
      </c>
      <c r="I12" s="117" t="s">
        <v>84</v>
      </c>
    </row>
    <row r="13" spans="1:9" x14ac:dyDescent="0.35">
      <c r="A13" s="117" t="s">
        <v>55</v>
      </c>
      <c r="B13" s="117" t="s">
        <v>65</v>
      </c>
      <c r="C13" s="117" t="s">
        <v>85</v>
      </c>
      <c r="D13" s="126">
        <v>195</v>
      </c>
      <c r="E13" s="126">
        <v>3500</v>
      </c>
      <c r="F13" s="126">
        <v>3000</v>
      </c>
      <c r="G13" s="126">
        <v>3256</v>
      </c>
      <c r="H13" s="117" t="s">
        <v>86</v>
      </c>
      <c r="I13" s="117" t="s">
        <v>87</v>
      </c>
    </row>
    <row r="14" spans="1:9" x14ac:dyDescent="0.35">
      <c r="A14" s="117" t="s">
        <v>55</v>
      </c>
      <c r="B14" s="117" t="s">
        <v>65</v>
      </c>
      <c r="C14" s="117" t="s">
        <v>88</v>
      </c>
      <c r="D14" s="126">
        <v>185</v>
      </c>
      <c r="E14" s="126">
        <v>2500</v>
      </c>
      <c r="F14" s="126">
        <v>2000</v>
      </c>
      <c r="G14" s="126">
        <v>2265</v>
      </c>
      <c r="H14" s="117" t="s">
        <v>86</v>
      </c>
      <c r="I14" s="117" t="s">
        <v>87</v>
      </c>
    </row>
    <row r="15" spans="1:9" x14ac:dyDescent="0.35">
      <c r="A15" s="117" t="s">
        <v>89</v>
      </c>
      <c r="B15" s="117" t="s">
        <v>90</v>
      </c>
      <c r="C15" s="117" t="s">
        <v>82</v>
      </c>
      <c r="D15" s="126">
        <v>70</v>
      </c>
      <c r="E15" s="126">
        <v>7000</v>
      </c>
      <c r="F15" s="126">
        <v>7000</v>
      </c>
      <c r="G15" s="126">
        <v>7000</v>
      </c>
      <c r="H15" s="117" t="s">
        <v>83</v>
      </c>
      <c r="I15" s="117" t="s">
        <v>87</v>
      </c>
    </row>
    <row r="16" spans="1:9" x14ac:dyDescent="0.35">
      <c r="A16" s="117" t="s">
        <v>89</v>
      </c>
      <c r="B16" s="117" t="s">
        <v>90</v>
      </c>
      <c r="C16" s="117" t="s">
        <v>82</v>
      </c>
      <c r="D16" s="126">
        <v>68</v>
      </c>
      <c r="E16" s="126">
        <v>10000</v>
      </c>
      <c r="F16" s="126">
        <v>10000</v>
      </c>
      <c r="G16" s="126">
        <v>10000</v>
      </c>
      <c r="H16" s="117" t="s">
        <v>91</v>
      </c>
      <c r="I16" s="117" t="s">
        <v>87</v>
      </c>
    </row>
    <row r="17" spans="1:9" x14ac:dyDescent="0.35">
      <c r="A17" s="117" t="s">
        <v>89</v>
      </c>
      <c r="B17" s="117" t="s">
        <v>90</v>
      </c>
      <c r="C17" s="117" t="s">
        <v>66</v>
      </c>
      <c r="D17" s="126">
        <v>75</v>
      </c>
      <c r="E17" s="126">
        <v>6000</v>
      </c>
      <c r="F17" s="126">
        <v>6000</v>
      </c>
      <c r="G17" s="126">
        <v>6000</v>
      </c>
      <c r="H17" s="117" t="s">
        <v>83</v>
      </c>
      <c r="I17" s="117" t="s">
        <v>87</v>
      </c>
    </row>
    <row r="18" spans="1:9" x14ac:dyDescent="0.35">
      <c r="A18" s="117" t="s">
        <v>89</v>
      </c>
      <c r="B18" s="117" t="s">
        <v>90</v>
      </c>
      <c r="C18" s="117" t="s">
        <v>66</v>
      </c>
      <c r="D18" s="126">
        <v>67</v>
      </c>
      <c r="E18" s="126">
        <v>8000</v>
      </c>
      <c r="F18" s="126">
        <v>8000</v>
      </c>
      <c r="G18" s="126">
        <v>8000</v>
      </c>
      <c r="H18" s="117" t="s">
        <v>91</v>
      </c>
      <c r="I18" s="117" t="s">
        <v>87</v>
      </c>
    </row>
    <row r="19" spans="1:9" x14ac:dyDescent="0.35">
      <c r="A19" s="117" t="s">
        <v>89</v>
      </c>
      <c r="B19" s="117" t="s">
        <v>90</v>
      </c>
      <c r="C19" s="117" t="s">
        <v>57</v>
      </c>
      <c r="D19" s="126">
        <v>68</v>
      </c>
      <c r="E19" s="126">
        <v>5000</v>
      </c>
      <c r="F19" s="126">
        <v>5000</v>
      </c>
      <c r="G19" s="126">
        <v>5000</v>
      </c>
      <c r="H19" s="117" t="s">
        <v>83</v>
      </c>
      <c r="I19" s="117" t="s">
        <v>87</v>
      </c>
    </row>
    <row r="20" spans="1:9" x14ac:dyDescent="0.35">
      <c r="A20" s="117" t="s">
        <v>92</v>
      </c>
      <c r="B20" s="117" t="s">
        <v>65</v>
      </c>
      <c r="C20" s="117" t="s">
        <v>66</v>
      </c>
      <c r="D20" s="126">
        <v>228</v>
      </c>
      <c r="E20" s="126">
        <v>13000</v>
      </c>
      <c r="F20" s="126">
        <v>13000</v>
      </c>
      <c r="G20" s="126">
        <v>13000</v>
      </c>
      <c r="H20" s="117" t="s">
        <v>93</v>
      </c>
      <c r="I20" s="117" t="s">
        <v>94</v>
      </c>
    </row>
    <row r="21" spans="1:9" x14ac:dyDescent="0.35">
      <c r="A21" s="117" t="s">
        <v>95</v>
      </c>
      <c r="B21" s="117" t="s">
        <v>96</v>
      </c>
      <c r="C21" s="117" t="s">
        <v>97</v>
      </c>
      <c r="D21" s="126">
        <v>70</v>
      </c>
      <c r="E21" s="126">
        <v>20000</v>
      </c>
      <c r="F21" s="126">
        <v>20000</v>
      </c>
      <c r="G21" s="126">
        <v>20000</v>
      </c>
      <c r="H21" s="117" t="s">
        <v>98</v>
      </c>
      <c r="I21" s="117" t="s">
        <v>99</v>
      </c>
    </row>
    <row r="22" spans="1:9" x14ac:dyDescent="0.35">
      <c r="A22" s="117" t="s">
        <v>95</v>
      </c>
      <c r="B22" s="117" t="s">
        <v>96</v>
      </c>
      <c r="C22" s="117" t="s">
        <v>100</v>
      </c>
      <c r="D22" s="126">
        <v>70</v>
      </c>
      <c r="E22" s="126">
        <v>19000</v>
      </c>
      <c r="F22" s="126">
        <v>19000</v>
      </c>
      <c r="G22" s="126">
        <v>19000</v>
      </c>
      <c r="H22" s="117" t="s">
        <v>98</v>
      </c>
      <c r="I22" s="117" t="s">
        <v>99</v>
      </c>
    </row>
    <row r="23" spans="1:9" x14ac:dyDescent="0.35">
      <c r="A23" s="117" t="s">
        <v>95</v>
      </c>
      <c r="B23" s="117" t="s">
        <v>96</v>
      </c>
      <c r="C23" s="117" t="s">
        <v>82</v>
      </c>
      <c r="D23" s="126">
        <v>70</v>
      </c>
      <c r="E23" s="126">
        <v>14000</v>
      </c>
      <c r="F23" s="126">
        <v>14000</v>
      </c>
      <c r="G23" s="126">
        <v>14000</v>
      </c>
      <c r="H23" s="117" t="s">
        <v>101</v>
      </c>
      <c r="I23" s="117" t="s">
        <v>84</v>
      </c>
    </row>
    <row r="24" spans="1:9" x14ac:dyDescent="0.35">
      <c r="A24" s="117" t="s">
        <v>95</v>
      </c>
      <c r="B24" s="117" t="s">
        <v>96</v>
      </c>
      <c r="C24" s="117" t="s">
        <v>102</v>
      </c>
      <c r="D24" s="126">
        <v>68</v>
      </c>
      <c r="E24" s="126">
        <v>16000</v>
      </c>
      <c r="F24" s="126">
        <v>16000</v>
      </c>
      <c r="G24" s="126">
        <v>16000</v>
      </c>
      <c r="H24" s="117" t="s">
        <v>101</v>
      </c>
      <c r="I24" s="117" t="s">
        <v>84</v>
      </c>
    </row>
    <row r="25" spans="1:9" x14ac:dyDescent="0.35">
      <c r="A25" s="117" t="s">
        <v>95</v>
      </c>
      <c r="B25" s="117" t="s">
        <v>96</v>
      </c>
      <c r="C25" s="117" t="s">
        <v>66</v>
      </c>
      <c r="D25" s="126">
        <v>80</v>
      </c>
      <c r="E25" s="126">
        <v>12000</v>
      </c>
      <c r="F25" s="126">
        <v>12000</v>
      </c>
      <c r="G25" s="126">
        <v>12000</v>
      </c>
      <c r="H25" s="117" t="s">
        <v>101</v>
      </c>
      <c r="I25" s="117" t="s">
        <v>84</v>
      </c>
    </row>
    <row r="26" spans="1:9" x14ac:dyDescent="0.35">
      <c r="A26" s="117" t="s">
        <v>95</v>
      </c>
      <c r="B26" s="117" t="s">
        <v>96</v>
      </c>
      <c r="C26" s="117" t="s">
        <v>57</v>
      </c>
      <c r="D26" s="126">
        <v>70</v>
      </c>
      <c r="E26" s="126">
        <v>10000</v>
      </c>
      <c r="F26" s="126">
        <v>10000</v>
      </c>
      <c r="G26" s="126">
        <v>10000</v>
      </c>
      <c r="H26" s="117" t="s">
        <v>101</v>
      </c>
      <c r="I26" s="117" t="s">
        <v>84</v>
      </c>
    </row>
    <row r="27" spans="1:9" x14ac:dyDescent="0.35">
      <c r="A27" s="117" t="s">
        <v>95</v>
      </c>
      <c r="B27" s="117" t="s">
        <v>103</v>
      </c>
      <c r="C27" s="117" t="s">
        <v>82</v>
      </c>
      <c r="D27" s="126">
        <v>75</v>
      </c>
      <c r="E27" s="126">
        <v>14000</v>
      </c>
      <c r="F27" s="126">
        <v>14000</v>
      </c>
      <c r="G27" s="126">
        <v>14000</v>
      </c>
      <c r="H27" s="117" t="s">
        <v>101</v>
      </c>
      <c r="I27" s="117" t="s">
        <v>84</v>
      </c>
    </row>
    <row r="28" spans="1:9" x14ac:dyDescent="0.35">
      <c r="A28" s="117" t="s">
        <v>95</v>
      </c>
      <c r="B28" s="117" t="s">
        <v>103</v>
      </c>
      <c r="C28" s="117" t="s">
        <v>66</v>
      </c>
      <c r="D28" s="126">
        <v>80</v>
      </c>
      <c r="E28" s="126">
        <v>12000</v>
      </c>
      <c r="F28" s="126">
        <v>12000</v>
      </c>
      <c r="G28" s="126">
        <v>12000</v>
      </c>
      <c r="H28" s="117" t="s">
        <v>101</v>
      </c>
      <c r="I28" s="117" t="s">
        <v>84</v>
      </c>
    </row>
    <row r="29" spans="1:9" x14ac:dyDescent="0.35">
      <c r="A29" s="117" t="s">
        <v>95</v>
      </c>
      <c r="B29" s="117" t="s">
        <v>103</v>
      </c>
      <c r="C29" s="117" t="s">
        <v>57</v>
      </c>
      <c r="D29" s="126">
        <v>70</v>
      </c>
      <c r="E29" s="126">
        <v>10000</v>
      </c>
      <c r="F29" s="126">
        <v>10000</v>
      </c>
      <c r="G29" s="126">
        <v>10000</v>
      </c>
      <c r="H29" s="117" t="s">
        <v>101</v>
      </c>
      <c r="I29" s="117" t="s">
        <v>84</v>
      </c>
    </row>
    <row r="30" spans="1:9" x14ac:dyDescent="0.35">
      <c r="A30" s="117" t="s">
        <v>95</v>
      </c>
      <c r="B30" s="117" t="s">
        <v>104</v>
      </c>
      <c r="C30" s="117" t="s">
        <v>97</v>
      </c>
      <c r="D30" s="126">
        <v>68</v>
      </c>
      <c r="E30" s="126">
        <v>20000</v>
      </c>
      <c r="F30" s="126">
        <v>20000</v>
      </c>
      <c r="G30" s="126">
        <v>20000</v>
      </c>
      <c r="H30" s="117" t="s">
        <v>98</v>
      </c>
      <c r="I30" s="117" t="s">
        <v>99</v>
      </c>
    </row>
    <row r="31" spans="1:9" x14ac:dyDescent="0.35">
      <c r="A31" s="117" t="s">
        <v>95</v>
      </c>
      <c r="B31" s="117" t="s">
        <v>104</v>
      </c>
      <c r="C31" s="117" t="s">
        <v>100</v>
      </c>
      <c r="D31" s="126">
        <v>70</v>
      </c>
      <c r="E31" s="126">
        <v>19000</v>
      </c>
      <c r="F31" s="126">
        <v>19000</v>
      </c>
      <c r="G31" s="126">
        <v>19000</v>
      </c>
      <c r="H31" s="117" t="s">
        <v>98</v>
      </c>
      <c r="I31" s="117" t="s">
        <v>99</v>
      </c>
    </row>
    <row r="32" spans="1:9" x14ac:dyDescent="0.35">
      <c r="A32" s="117" t="s">
        <v>95</v>
      </c>
      <c r="B32" s="117" t="s">
        <v>104</v>
      </c>
      <c r="C32" s="117" t="s">
        <v>82</v>
      </c>
      <c r="D32" s="126">
        <v>75</v>
      </c>
      <c r="E32" s="126">
        <v>14000</v>
      </c>
      <c r="F32" s="126">
        <v>14000</v>
      </c>
      <c r="G32" s="126">
        <v>14000</v>
      </c>
      <c r="H32" s="117" t="s">
        <v>101</v>
      </c>
      <c r="I32" s="117" t="s">
        <v>84</v>
      </c>
    </row>
    <row r="33" spans="1:9" x14ac:dyDescent="0.35">
      <c r="A33" s="117" t="s">
        <v>95</v>
      </c>
      <c r="B33" s="117" t="s">
        <v>104</v>
      </c>
      <c r="C33" s="117" t="s">
        <v>66</v>
      </c>
      <c r="D33" s="126">
        <v>80</v>
      </c>
      <c r="E33" s="126">
        <v>12000</v>
      </c>
      <c r="F33" s="126">
        <v>12000</v>
      </c>
      <c r="G33" s="126">
        <v>12000</v>
      </c>
      <c r="H33" s="117" t="s">
        <v>101</v>
      </c>
      <c r="I33" s="117" t="s">
        <v>84</v>
      </c>
    </row>
    <row r="34" spans="1:9" x14ac:dyDescent="0.35">
      <c r="A34" s="117" t="s">
        <v>95</v>
      </c>
      <c r="B34" s="117" t="s">
        <v>104</v>
      </c>
      <c r="C34" s="117" t="s">
        <v>57</v>
      </c>
      <c r="D34" s="126">
        <v>70</v>
      </c>
      <c r="E34" s="126">
        <v>10000</v>
      </c>
      <c r="F34" s="126">
        <v>10000</v>
      </c>
      <c r="G34" s="126">
        <v>10000</v>
      </c>
      <c r="H34" s="117" t="s">
        <v>101</v>
      </c>
      <c r="I34" s="117" t="s">
        <v>84</v>
      </c>
    </row>
    <row r="35" spans="1:9" x14ac:dyDescent="0.35">
      <c r="A35" s="117" t="s">
        <v>105</v>
      </c>
      <c r="B35" s="117" t="s">
        <v>106</v>
      </c>
      <c r="C35" s="117" t="s">
        <v>66</v>
      </c>
      <c r="D35" s="126">
        <v>140</v>
      </c>
      <c r="E35" s="126">
        <v>4000</v>
      </c>
      <c r="F35" s="126">
        <v>3500</v>
      </c>
      <c r="G35" s="126">
        <v>3750</v>
      </c>
      <c r="H35" s="117" t="s">
        <v>107</v>
      </c>
      <c r="I35" s="117" t="s">
        <v>87</v>
      </c>
    </row>
    <row r="36" spans="1:9" x14ac:dyDescent="0.35">
      <c r="A36" s="117" t="s">
        <v>105</v>
      </c>
      <c r="B36" s="117" t="s">
        <v>106</v>
      </c>
      <c r="C36" s="117" t="s">
        <v>57</v>
      </c>
      <c r="D36" s="126">
        <v>148</v>
      </c>
      <c r="E36" s="126">
        <v>3000</v>
      </c>
      <c r="F36" s="126">
        <v>2700</v>
      </c>
      <c r="G36" s="126">
        <v>2862</v>
      </c>
      <c r="H36" s="117" t="s">
        <v>107</v>
      </c>
      <c r="I36" s="117" t="s">
        <v>87</v>
      </c>
    </row>
    <row r="37" spans="1:9" x14ac:dyDescent="0.35">
      <c r="A37" s="117" t="s">
        <v>105</v>
      </c>
      <c r="B37" s="117" t="s">
        <v>108</v>
      </c>
      <c r="C37" s="117" t="s">
        <v>66</v>
      </c>
      <c r="D37" s="126">
        <v>75</v>
      </c>
      <c r="E37" s="126">
        <v>3500</v>
      </c>
      <c r="F37" s="126">
        <v>3500</v>
      </c>
      <c r="G37" s="126">
        <v>3500</v>
      </c>
      <c r="H37" s="117" t="s">
        <v>107</v>
      </c>
      <c r="I37" s="117" t="s">
        <v>87</v>
      </c>
    </row>
    <row r="38" spans="1:9" x14ac:dyDescent="0.35">
      <c r="A38" s="117" t="s">
        <v>105</v>
      </c>
      <c r="B38" s="117" t="s">
        <v>108</v>
      </c>
      <c r="C38" s="117" t="s">
        <v>57</v>
      </c>
      <c r="D38" s="126">
        <v>124</v>
      </c>
      <c r="E38" s="126">
        <v>3000</v>
      </c>
      <c r="F38" s="126">
        <v>2700</v>
      </c>
      <c r="G38" s="126">
        <v>2879</v>
      </c>
      <c r="H38" s="117" t="s">
        <v>107</v>
      </c>
      <c r="I38" s="117" t="s">
        <v>87</v>
      </c>
    </row>
    <row r="39" spans="1:9" x14ac:dyDescent="0.35">
      <c r="A39" s="117" t="s">
        <v>109</v>
      </c>
      <c r="B39" s="117" t="s">
        <v>110</v>
      </c>
      <c r="C39" s="117" t="s">
        <v>82</v>
      </c>
      <c r="D39" s="126">
        <v>57</v>
      </c>
      <c r="E39" s="126">
        <v>34000</v>
      </c>
      <c r="F39" s="126">
        <v>34000</v>
      </c>
      <c r="G39" s="126">
        <v>34000</v>
      </c>
      <c r="H39" s="117" t="s">
        <v>83</v>
      </c>
      <c r="I39" s="117" t="s">
        <v>59</v>
      </c>
    </row>
    <row r="40" spans="1:9" x14ac:dyDescent="0.35">
      <c r="A40" s="117" t="s">
        <v>109</v>
      </c>
      <c r="B40" s="117" t="s">
        <v>110</v>
      </c>
      <c r="C40" s="117" t="s">
        <v>66</v>
      </c>
      <c r="D40" s="126">
        <v>60</v>
      </c>
      <c r="E40" s="126">
        <v>30000</v>
      </c>
      <c r="F40" s="126">
        <v>30000</v>
      </c>
      <c r="G40" s="126">
        <v>30000</v>
      </c>
      <c r="H40" s="117" t="s">
        <v>83</v>
      </c>
      <c r="I40" s="117" t="s">
        <v>59</v>
      </c>
    </row>
    <row r="41" spans="1:9" x14ac:dyDescent="0.35">
      <c r="A41" s="117" t="s">
        <v>109</v>
      </c>
      <c r="B41" s="117" t="s">
        <v>110</v>
      </c>
      <c r="C41" s="117" t="s">
        <v>66</v>
      </c>
      <c r="D41" s="126">
        <v>48</v>
      </c>
      <c r="E41" s="126">
        <v>4000</v>
      </c>
      <c r="F41" s="126">
        <v>4000</v>
      </c>
      <c r="G41" s="126">
        <v>4000</v>
      </c>
      <c r="H41" s="117" t="s">
        <v>111</v>
      </c>
      <c r="I41" s="117" t="s">
        <v>87</v>
      </c>
    </row>
    <row r="42" spans="1:9" x14ac:dyDescent="0.35">
      <c r="A42" s="117" t="s">
        <v>109</v>
      </c>
      <c r="B42" s="117" t="s">
        <v>110</v>
      </c>
      <c r="C42" s="117" t="s">
        <v>57</v>
      </c>
      <c r="D42" s="126">
        <v>57</v>
      </c>
      <c r="E42" s="126">
        <v>26000</v>
      </c>
      <c r="F42" s="126">
        <v>26000</v>
      </c>
      <c r="G42" s="126">
        <v>26000</v>
      </c>
      <c r="H42" s="117" t="s">
        <v>83</v>
      </c>
      <c r="I42" s="117" t="s">
        <v>59</v>
      </c>
    </row>
    <row r="43" spans="1:9" x14ac:dyDescent="0.35">
      <c r="A43" s="117" t="s">
        <v>109</v>
      </c>
      <c r="B43" s="117" t="s">
        <v>110</v>
      </c>
      <c r="C43" s="117" t="s">
        <v>57</v>
      </c>
      <c r="D43" s="126">
        <v>48</v>
      </c>
      <c r="E43" s="126">
        <v>3500</v>
      </c>
      <c r="F43" s="126">
        <v>3500</v>
      </c>
      <c r="G43" s="126">
        <v>3500</v>
      </c>
      <c r="H43" s="117" t="s">
        <v>111</v>
      </c>
      <c r="I43" s="117" t="s">
        <v>87</v>
      </c>
    </row>
    <row r="44" spans="1:9" x14ac:dyDescent="0.35">
      <c r="A44" s="117" t="s">
        <v>109</v>
      </c>
      <c r="B44" s="117" t="s">
        <v>110</v>
      </c>
      <c r="C44" s="117" t="s">
        <v>68</v>
      </c>
      <c r="D44" s="126">
        <v>48</v>
      </c>
      <c r="E44" s="126">
        <v>3200</v>
      </c>
      <c r="F44" s="126">
        <v>3200</v>
      </c>
      <c r="G44" s="126">
        <v>3200</v>
      </c>
      <c r="H44" s="117" t="s">
        <v>111</v>
      </c>
      <c r="I44" s="117" t="s">
        <v>87</v>
      </c>
    </row>
    <row r="45" spans="1:9" x14ac:dyDescent="0.35">
      <c r="A45" s="117" t="s">
        <v>112</v>
      </c>
      <c r="B45" s="117" t="s">
        <v>113</v>
      </c>
      <c r="C45" s="117" t="s">
        <v>82</v>
      </c>
      <c r="D45" s="126">
        <v>70</v>
      </c>
      <c r="E45" s="126">
        <v>14000</v>
      </c>
      <c r="F45" s="126">
        <v>14000</v>
      </c>
      <c r="G45" s="126">
        <v>14000</v>
      </c>
      <c r="H45" s="117" t="s">
        <v>101</v>
      </c>
      <c r="I45" s="117" t="s">
        <v>99</v>
      </c>
    </row>
    <row r="46" spans="1:9" x14ac:dyDescent="0.35">
      <c r="A46" s="117" t="s">
        <v>112</v>
      </c>
      <c r="B46" s="117" t="s">
        <v>113</v>
      </c>
      <c r="C46" s="117" t="s">
        <v>66</v>
      </c>
      <c r="D46" s="126">
        <v>75</v>
      </c>
      <c r="E46" s="126">
        <v>12000</v>
      </c>
      <c r="F46" s="126">
        <v>12000</v>
      </c>
      <c r="G46" s="126">
        <v>12000</v>
      </c>
      <c r="H46" s="117" t="s">
        <v>101</v>
      </c>
      <c r="I46" s="117" t="s">
        <v>99</v>
      </c>
    </row>
    <row r="47" spans="1:9" x14ac:dyDescent="0.35">
      <c r="A47" s="117" t="s">
        <v>112</v>
      </c>
      <c r="B47" s="117" t="s">
        <v>113</v>
      </c>
      <c r="C47" s="117" t="s">
        <v>57</v>
      </c>
      <c r="D47" s="126">
        <v>70</v>
      </c>
      <c r="E47" s="126">
        <v>10000</v>
      </c>
      <c r="F47" s="126">
        <v>10000</v>
      </c>
      <c r="G47" s="126">
        <v>10000</v>
      </c>
      <c r="H47" s="117" t="s">
        <v>101</v>
      </c>
      <c r="I47" s="117" t="s">
        <v>99</v>
      </c>
    </row>
    <row r="48" spans="1:9" x14ac:dyDescent="0.35">
      <c r="A48" s="117" t="s">
        <v>114</v>
      </c>
      <c r="B48" s="117" t="s">
        <v>115</v>
      </c>
      <c r="C48" s="117" t="s">
        <v>57</v>
      </c>
      <c r="D48" s="126">
        <v>70</v>
      </c>
      <c r="E48" s="126">
        <v>16000</v>
      </c>
      <c r="F48" s="126">
        <v>16000</v>
      </c>
      <c r="G48" s="126">
        <v>16000</v>
      </c>
      <c r="H48" s="117" t="s">
        <v>116</v>
      </c>
      <c r="I48" s="117" t="s">
        <v>117</v>
      </c>
    </row>
    <row r="49" spans="1:9" x14ac:dyDescent="0.35">
      <c r="A49" s="117" t="s">
        <v>114</v>
      </c>
      <c r="B49" s="117" t="s">
        <v>115</v>
      </c>
      <c r="C49" s="117" t="s">
        <v>68</v>
      </c>
      <c r="D49" s="126">
        <v>70</v>
      </c>
      <c r="E49" s="126">
        <v>16000</v>
      </c>
      <c r="F49" s="126">
        <v>16000</v>
      </c>
      <c r="G49" s="126">
        <v>16000</v>
      </c>
      <c r="H49" s="117" t="s">
        <v>118</v>
      </c>
      <c r="I49" s="117" t="s">
        <v>117</v>
      </c>
    </row>
    <row r="50" spans="1:9" x14ac:dyDescent="0.35">
      <c r="A50" s="117" t="s">
        <v>119</v>
      </c>
      <c r="B50" s="117" t="s">
        <v>65</v>
      </c>
      <c r="C50" s="117" t="s">
        <v>120</v>
      </c>
      <c r="D50" s="126">
        <v>400</v>
      </c>
      <c r="E50" s="126">
        <v>19000</v>
      </c>
      <c r="F50" s="126">
        <v>18000</v>
      </c>
      <c r="G50" s="126">
        <v>18400</v>
      </c>
      <c r="H50" s="117" t="s">
        <v>121</v>
      </c>
      <c r="I50" s="117" t="s">
        <v>117</v>
      </c>
    </row>
    <row r="51" spans="1:9" x14ac:dyDescent="0.35">
      <c r="A51" s="117" t="s">
        <v>119</v>
      </c>
      <c r="B51" s="117" t="s">
        <v>65</v>
      </c>
      <c r="C51" s="117" t="s">
        <v>122</v>
      </c>
      <c r="D51" s="126">
        <v>280</v>
      </c>
      <c r="E51" s="126">
        <v>21000</v>
      </c>
      <c r="F51" s="126">
        <v>20000</v>
      </c>
      <c r="G51" s="126">
        <v>20429</v>
      </c>
      <c r="H51" s="117" t="s">
        <v>121</v>
      </c>
      <c r="I51" s="117" t="s">
        <v>117</v>
      </c>
    </row>
    <row r="52" spans="1:9" ht="15" thickBot="1" x14ac:dyDescent="0.4">
      <c r="A52" s="123" t="s">
        <v>123</v>
      </c>
      <c r="B52" s="123" t="s">
        <v>124</v>
      </c>
      <c r="C52" s="123" t="s">
        <v>66</v>
      </c>
      <c r="D52" s="127">
        <v>70</v>
      </c>
      <c r="E52" s="127">
        <v>16000</v>
      </c>
      <c r="F52" s="127">
        <v>16000</v>
      </c>
      <c r="G52" s="127">
        <v>16000</v>
      </c>
      <c r="H52" s="123" t="s">
        <v>125</v>
      </c>
      <c r="I52" s="123" t="s">
        <v>126</v>
      </c>
    </row>
    <row r="53" spans="1:9" x14ac:dyDescent="0.35">
      <c r="A53" s="128" t="s">
        <v>310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84"/>
      <c r="E2" s="67"/>
      <c r="F2" s="67"/>
      <c r="G2" s="67"/>
    </row>
    <row r="3" spans="1:9" s="62" customFormat="1" ht="18.5" x14ac:dyDescent="0.45">
      <c r="A3" s="83" t="s">
        <v>15</v>
      </c>
      <c r="B3" s="83"/>
      <c r="C3" s="84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84"/>
      <c r="E4" s="67"/>
      <c r="F4" s="67"/>
      <c r="G4" s="67"/>
    </row>
    <row r="5" spans="1:9" s="62" customFormat="1" ht="18.5" x14ac:dyDescent="0.45">
      <c r="A5" s="83" t="s">
        <v>49</v>
      </c>
      <c r="B5" s="83"/>
      <c r="C5" s="84"/>
      <c r="E5" s="67"/>
      <c r="F5" s="67"/>
      <c r="G5" s="67"/>
    </row>
    <row r="6" spans="1:9" s="62" customFormat="1" ht="18.5" x14ac:dyDescent="0.45">
      <c r="A6" s="83"/>
      <c r="B6" s="83"/>
      <c r="C6" s="84"/>
      <c r="E6" s="67"/>
      <c r="F6" s="67"/>
      <c r="G6" s="67"/>
    </row>
    <row r="7" spans="1:9" s="62" customFormat="1" ht="18.5" x14ac:dyDescent="0.3">
      <c r="A7" s="86" t="s">
        <v>33</v>
      </c>
      <c r="B7" s="89"/>
      <c r="C7" s="90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90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80</v>
      </c>
      <c r="B10" s="122" t="s">
        <v>81</v>
      </c>
      <c r="C10" s="122" t="s">
        <v>66</v>
      </c>
      <c r="D10" s="125">
        <v>16</v>
      </c>
      <c r="E10" s="125">
        <v>420000</v>
      </c>
      <c r="F10" s="125">
        <v>410000</v>
      </c>
      <c r="G10" s="125">
        <v>415000</v>
      </c>
      <c r="H10" s="122" t="s">
        <v>220</v>
      </c>
      <c r="I10" s="122" t="s">
        <v>99</v>
      </c>
    </row>
    <row r="11" spans="1:9" x14ac:dyDescent="0.35">
      <c r="A11" s="117" t="s">
        <v>80</v>
      </c>
      <c r="B11" s="117" t="s">
        <v>81</v>
      </c>
      <c r="C11" s="117" t="s">
        <v>57</v>
      </c>
      <c r="D11" s="126">
        <v>10</v>
      </c>
      <c r="E11" s="126">
        <v>340000</v>
      </c>
      <c r="F11" s="126">
        <v>330000</v>
      </c>
      <c r="G11" s="126">
        <v>335000</v>
      </c>
      <c r="H11" s="117" t="s">
        <v>220</v>
      </c>
      <c r="I11" s="117" t="s">
        <v>99</v>
      </c>
    </row>
    <row r="12" spans="1:9" x14ac:dyDescent="0.35">
      <c r="A12" s="117" t="s">
        <v>92</v>
      </c>
      <c r="B12" s="117" t="s">
        <v>65</v>
      </c>
      <c r="C12" s="117" t="s">
        <v>82</v>
      </c>
      <c r="D12" s="126">
        <v>512</v>
      </c>
      <c r="E12" s="126">
        <v>12500</v>
      </c>
      <c r="F12" s="126">
        <v>12000</v>
      </c>
      <c r="G12" s="126">
        <v>12250</v>
      </c>
      <c r="H12" s="117" t="s">
        <v>93</v>
      </c>
      <c r="I12" s="117" t="s">
        <v>94</v>
      </c>
    </row>
    <row r="13" spans="1:9" x14ac:dyDescent="0.35">
      <c r="A13" s="117" t="s">
        <v>92</v>
      </c>
      <c r="B13" s="117" t="s">
        <v>65</v>
      </c>
      <c r="C13" s="117" t="s">
        <v>66</v>
      </c>
      <c r="D13" s="126">
        <v>512</v>
      </c>
      <c r="E13" s="126">
        <v>12500</v>
      </c>
      <c r="F13" s="126">
        <v>12000</v>
      </c>
      <c r="G13" s="126">
        <v>12250</v>
      </c>
      <c r="H13" s="117" t="s">
        <v>93</v>
      </c>
      <c r="I13" s="117" t="s">
        <v>94</v>
      </c>
    </row>
    <row r="14" spans="1:9" x14ac:dyDescent="0.35">
      <c r="A14" s="117" t="s">
        <v>92</v>
      </c>
      <c r="B14" s="117" t="s">
        <v>65</v>
      </c>
      <c r="C14" s="117" t="s">
        <v>57</v>
      </c>
      <c r="D14" s="126">
        <v>512</v>
      </c>
      <c r="E14" s="126">
        <v>12500</v>
      </c>
      <c r="F14" s="126">
        <v>12000</v>
      </c>
      <c r="G14" s="126">
        <v>12250</v>
      </c>
      <c r="H14" s="117" t="s">
        <v>93</v>
      </c>
      <c r="I14" s="117" t="s">
        <v>94</v>
      </c>
    </row>
    <row r="15" spans="1:9" x14ac:dyDescent="0.35">
      <c r="A15" s="117" t="s">
        <v>95</v>
      </c>
      <c r="B15" s="117" t="s">
        <v>96</v>
      </c>
      <c r="C15" s="117" t="s">
        <v>82</v>
      </c>
      <c r="D15" s="126">
        <v>16</v>
      </c>
      <c r="E15" s="126">
        <v>340000</v>
      </c>
      <c r="F15" s="126">
        <v>330000</v>
      </c>
      <c r="G15" s="126">
        <v>335000</v>
      </c>
      <c r="H15" s="117" t="s">
        <v>226</v>
      </c>
      <c r="I15" s="117" t="s">
        <v>99</v>
      </c>
    </row>
    <row r="16" spans="1:9" x14ac:dyDescent="0.35">
      <c r="A16" s="117" t="s">
        <v>95</v>
      </c>
      <c r="B16" s="117" t="s">
        <v>96</v>
      </c>
      <c r="C16" s="117" t="s">
        <v>66</v>
      </c>
      <c r="D16" s="126">
        <v>16</v>
      </c>
      <c r="E16" s="126">
        <v>310000</v>
      </c>
      <c r="F16" s="126">
        <v>300000</v>
      </c>
      <c r="G16" s="126">
        <v>305000</v>
      </c>
      <c r="H16" s="117" t="s">
        <v>226</v>
      </c>
      <c r="I16" s="117" t="s">
        <v>99</v>
      </c>
    </row>
    <row r="17" spans="1:9" x14ac:dyDescent="0.35">
      <c r="A17" s="117" t="s">
        <v>95</v>
      </c>
      <c r="B17" s="117" t="s">
        <v>96</v>
      </c>
      <c r="C17" s="117" t="s">
        <v>57</v>
      </c>
      <c r="D17" s="126">
        <v>20</v>
      </c>
      <c r="E17" s="126">
        <v>280000</v>
      </c>
      <c r="F17" s="126">
        <v>270000</v>
      </c>
      <c r="G17" s="126">
        <v>275000</v>
      </c>
      <c r="H17" s="117" t="s">
        <v>226</v>
      </c>
      <c r="I17" s="117" t="s">
        <v>99</v>
      </c>
    </row>
    <row r="18" spans="1:9" x14ac:dyDescent="0.35">
      <c r="A18" s="117" t="s">
        <v>95</v>
      </c>
      <c r="B18" s="117" t="s">
        <v>103</v>
      </c>
      <c r="C18" s="117" t="s">
        <v>82</v>
      </c>
      <c r="D18" s="126">
        <v>16</v>
      </c>
      <c r="E18" s="126">
        <v>320000</v>
      </c>
      <c r="F18" s="126">
        <v>310000</v>
      </c>
      <c r="G18" s="126">
        <v>315000</v>
      </c>
      <c r="H18" s="117" t="s">
        <v>226</v>
      </c>
      <c r="I18" s="117" t="s">
        <v>99</v>
      </c>
    </row>
    <row r="19" spans="1:9" x14ac:dyDescent="0.35">
      <c r="A19" s="117" t="s">
        <v>95</v>
      </c>
      <c r="B19" s="117" t="s">
        <v>103</v>
      </c>
      <c r="C19" s="117" t="s">
        <v>66</v>
      </c>
      <c r="D19" s="126">
        <v>16</v>
      </c>
      <c r="E19" s="126">
        <v>290000</v>
      </c>
      <c r="F19" s="126">
        <v>280000</v>
      </c>
      <c r="G19" s="126">
        <v>285000</v>
      </c>
      <c r="H19" s="117" t="s">
        <v>226</v>
      </c>
      <c r="I19" s="117" t="s">
        <v>99</v>
      </c>
    </row>
    <row r="20" spans="1:9" x14ac:dyDescent="0.35">
      <c r="A20" s="117" t="s">
        <v>95</v>
      </c>
      <c r="B20" s="117" t="s">
        <v>103</v>
      </c>
      <c r="C20" s="117" t="s">
        <v>57</v>
      </c>
      <c r="D20" s="126">
        <v>20</v>
      </c>
      <c r="E20" s="126">
        <v>260000</v>
      </c>
      <c r="F20" s="126">
        <v>250000</v>
      </c>
      <c r="G20" s="126">
        <v>255000</v>
      </c>
      <c r="H20" s="117" t="s">
        <v>226</v>
      </c>
      <c r="I20" s="117" t="s">
        <v>99</v>
      </c>
    </row>
    <row r="21" spans="1:9" x14ac:dyDescent="0.35">
      <c r="A21" s="117" t="s">
        <v>95</v>
      </c>
      <c r="B21" s="117" t="s">
        <v>104</v>
      </c>
      <c r="C21" s="117" t="s">
        <v>82</v>
      </c>
      <c r="D21" s="126">
        <v>10</v>
      </c>
      <c r="E21" s="126">
        <v>310000</v>
      </c>
      <c r="F21" s="126">
        <v>300000</v>
      </c>
      <c r="G21" s="126">
        <v>305000</v>
      </c>
      <c r="H21" s="117" t="s">
        <v>226</v>
      </c>
      <c r="I21" s="117" t="s">
        <v>99</v>
      </c>
    </row>
    <row r="22" spans="1:9" x14ac:dyDescent="0.35">
      <c r="A22" s="117" t="s">
        <v>95</v>
      </c>
      <c r="B22" s="117" t="s">
        <v>104</v>
      </c>
      <c r="C22" s="117" t="s">
        <v>66</v>
      </c>
      <c r="D22" s="126">
        <v>16</v>
      </c>
      <c r="E22" s="126">
        <v>280000</v>
      </c>
      <c r="F22" s="126">
        <v>270000</v>
      </c>
      <c r="G22" s="126">
        <v>275000</v>
      </c>
      <c r="H22" s="117" t="s">
        <v>226</v>
      </c>
      <c r="I22" s="117" t="s">
        <v>99</v>
      </c>
    </row>
    <row r="23" spans="1:9" x14ac:dyDescent="0.35">
      <c r="A23" s="117" t="s">
        <v>109</v>
      </c>
      <c r="B23" s="117" t="s">
        <v>110</v>
      </c>
      <c r="C23" s="117" t="s">
        <v>82</v>
      </c>
      <c r="D23" s="126">
        <v>400</v>
      </c>
      <c r="E23" s="126">
        <v>31000</v>
      </c>
      <c r="F23" s="126">
        <v>30000</v>
      </c>
      <c r="G23" s="126">
        <v>30500</v>
      </c>
      <c r="H23" s="117" t="s">
        <v>83</v>
      </c>
      <c r="I23" s="117" t="s">
        <v>59</v>
      </c>
    </row>
    <row r="24" spans="1:9" x14ac:dyDescent="0.35">
      <c r="A24" s="117" t="s">
        <v>109</v>
      </c>
      <c r="B24" s="117" t="s">
        <v>110</v>
      </c>
      <c r="C24" s="117" t="s">
        <v>66</v>
      </c>
      <c r="D24" s="126">
        <v>500</v>
      </c>
      <c r="E24" s="126">
        <v>28000</v>
      </c>
      <c r="F24" s="126">
        <v>27000</v>
      </c>
      <c r="G24" s="126">
        <v>27500</v>
      </c>
      <c r="H24" s="117" t="s">
        <v>83</v>
      </c>
      <c r="I24" s="117" t="s">
        <v>59</v>
      </c>
    </row>
    <row r="25" spans="1:9" x14ac:dyDescent="0.35">
      <c r="A25" s="117" t="s">
        <v>109</v>
      </c>
      <c r="B25" s="117" t="s">
        <v>110</v>
      </c>
      <c r="C25" s="117" t="s">
        <v>57</v>
      </c>
      <c r="D25" s="126">
        <v>440</v>
      </c>
      <c r="E25" s="126">
        <v>25000</v>
      </c>
      <c r="F25" s="126">
        <v>24000</v>
      </c>
      <c r="G25" s="126">
        <v>24500</v>
      </c>
      <c r="H25" s="117" t="s">
        <v>83</v>
      </c>
      <c r="I25" s="117" t="s">
        <v>59</v>
      </c>
    </row>
    <row r="26" spans="1:9" x14ac:dyDescent="0.35">
      <c r="A26" s="117" t="s">
        <v>109</v>
      </c>
      <c r="B26" s="117" t="s">
        <v>110</v>
      </c>
      <c r="C26" s="117" t="s">
        <v>68</v>
      </c>
      <c r="D26" s="126">
        <v>360</v>
      </c>
      <c r="E26" s="126">
        <v>22000</v>
      </c>
      <c r="F26" s="126">
        <v>21000</v>
      </c>
      <c r="G26" s="126">
        <v>21500</v>
      </c>
      <c r="H26" s="117" t="s">
        <v>83</v>
      </c>
      <c r="I26" s="117" t="s">
        <v>59</v>
      </c>
    </row>
    <row r="27" spans="1:9" x14ac:dyDescent="0.35">
      <c r="A27" s="117" t="s">
        <v>112</v>
      </c>
      <c r="B27" s="117" t="s">
        <v>113</v>
      </c>
      <c r="C27" s="117" t="s">
        <v>82</v>
      </c>
      <c r="D27" s="126">
        <v>10</v>
      </c>
      <c r="E27" s="126">
        <v>330000</v>
      </c>
      <c r="F27" s="126">
        <v>320000</v>
      </c>
      <c r="G27" s="126">
        <v>325000</v>
      </c>
      <c r="H27" s="117" t="s">
        <v>220</v>
      </c>
      <c r="I27" s="117" t="s">
        <v>99</v>
      </c>
    </row>
    <row r="28" spans="1:9" x14ac:dyDescent="0.35">
      <c r="A28" s="117" t="s">
        <v>112</v>
      </c>
      <c r="B28" s="117" t="s">
        <v>113</v>
      </c>
      <c r="C28" s="117" t="s">
        <v>66</v>
      </c>
      <c r="D28" s="126">
        <v>16</v>
      </c>
      <c r="E28" s="126">
        <v>300000</v>
      </c>
      <c r="F28" s="126">
        <v>290000</v>
      </c>
      <c r="G28" s="126">
        <v>295000</v>
      </c>
      <c r="H28" s="117" t="s">
        <v>220</v>
      </c>
      <c r="I28" s="117" t="s">
        <v>99</v>
      </c>
    </row>
    <row r="29" spans="1:9" x14ac:dyDescent="0.35">
      <c r="A29" s="117" t="s">
        <v>112</v>
      </c>
      <c r="B29" s="117" t="s">
        <v>229</v>
      </c>
      <c r="C29" s="117" t="s">
        <v>82</v>
      </c>
      <c r="D29" s="126">
        <v>10</v>
      </c>
      <c r="E29" s="126">
        <v>360000</v>
      </c>
      <c r="F29" s="126">
        <v>350000</v>
      </c>
      <c r="G29" s="126">
        <v>355000</v>
      </c>
      <c r="H29" s="117" t="s">
        <v>220</v>
      </c>
      <c r="I29" s="117" t="s">
        <v>99</v>
      </c>
    </row>
    <row r="30" spans="1:9" x14ac:dyDescent="0.35">
      <c r="A30" s="117" t="s">
        <v>112</v>
      </c>
      <c r="B30" s="117" t="s">
        <v>229</v>
      </c>
      <c r="C30" s="117" t="s">
        <v>66</v>
      </c>
      <c r="D30" s="126">
        <v>10</v>
      </c>
      <c r="E30" s="126">
        <v>330000</v>
      </c>
      <c r="F30" s="126">
        <v>320000</v>
      </c>
      <c r="G30" s="126">
        <v>325000</v>
      </c>
      <c r="H30" s="117" t="s">
        <v>220</v>
      </c>
      <c r="I30" s="117" t="s">
        <v>99</v>
      </c>
    </row>
    <row r="31" spans="1:9" x14ac:dyDescent="0.35">
      <c r="A31" s="117" t="s">
        <v>114</v>
      </c>
      <c r="B31" s="117" t="s">
        <v>115</v>
      </c>
      <c r="C31" s="117" t="s">
        <v>82</v>
      </c>
      <c r="D31" s="126">
        <v>216</v>
      </c>
      <c r="E31" s="126">
        <v>30000</v>
      </c>
      <c r="F31" s="126">
        <v>29000</v>
      </c>
      <c r="G31" s="126">
        <v>29500</v>
      </c>
      <c r="H31" s="117" t="s">
        <v>158</v>
      </c>
      <c r="I31" s="117" t="s">
        <v>117</v>
      </c>
    </row>
    <row r="32" spans="1:9" x14ac:dyDescent="0.35">
      <c r="A32" s="117" t="s">
        <v>114</v>
      </c>
      <c r="B32" s="117" t="s">
        <v>115</v>
      </c>
      <c r="C32" s="117" t="s">
        <v>66</v>
      </c>
      <c r="D32" s="126">
        <v>216</v>
      </c>
      <c r="E32" s="126">
        <v>30000</v>
      </c>
      <c r="F32" s="126">
        <v>29000</v>
      </c>
      <c r="G32" s="126">
        <v>29500</v>
      </c>
      <c r="H32" s="117" t="s">
        <v>71</v>
      </c>
      <c r="I32" s="117" t="s">
        <v>117</v>
      </c>
    </row>
    <row r="33" spans="1:9" x14ac:dyDescent="0.35">
      <c r="A33" s="117" t="s">
        <v>114</v>
      </c>
      <c r="B33" s="117" t="s">
        <v>115</v>
      </c>
      <c r="C33" s="117" t="s">
        <v>57</v>
      </c>
      <c r="D33" s="126">
        <v>216</v>
      </c>
      <c r="E33" s="126">
        <v>30000</v>
      </c>
      <c r="F33" s="126">
        <v>29000</v>
      </c>
      <c r="G33" s="126">
        <v>29500</v>
      </c>
      <c r="H33" s="117" t="s">
        <v>232</v>
      </c>
      <c r="I33" s="117" t="s">
        <v>117</v>
      </c>
    </row>
    <row r="34" spans="1:9" x14ac:dyDescent="0.35">
      <c r="A34" s="117" t="s">
        <v>114</v>
      </c>
      <c r="B34" s="117" t="s">
        <v>115</v>
      </c>
      <c r="C34" s="117" t="s">
        <v>68</v>
      </c>
      <c r="D34" s="126">
        <v>216</v>
      </c>
      <c r="E34" s="126">
        <v>30000</v>
      </c>
      <c r="F34" s="126">
        <v>29000</v>
      </c>
      <c r="G34" s="126">
        <v>29500</v>
      </c>
      <c r="H34" s="117" t="s">
        <v>233</v>
      </c>
      <c r="I34" s="117" t="s">
        <v>117</v>
      </c>
    </row>
    <row r="35" spans="1:9" x14ac:dyDescent="0.35">
      <c r="A35" s="117" t="s">
        <v>119</v>
      </c>
      <c r="B35" s="117" t="s">
        <v>65</v>
      </c>
      <c r="C35" s="117" t="s">
        <v>234</v>
      </c>
      <c r="D35" s="126">
        <v>120</v>
      </c>
      <c r="E35" s="126">
        <v>20000</v>
      </c>
      <c r="F35" s="126">
        <v>20000</v>
      </c>
      <c r="G35" s="126">
        <v>20000</v>
      </c>
      <c r="H35" s="117" t="s">
        <v>121</v>
      </c>
      <c r="I35" s="117" t="s">
        <v>117</v>
      </c>
    </row>
    <row r="36" spans="1:9" ht="15" thickBot="1" x14ac:dyDescent="0.4">
      <c r="A36" s="123" t="s">
        <v>119</v>
      </c>
      <c r="B36" s="123" t="s">
        <v>65</v>
      </c>
      <c r="C36" s="123" t="s">
        <v>122</v>
      </c>
      <c r="D36" s="127">
        <v>120</v>
      </c>
      <c r="E36" s="127">
        <v>21000</v>
      </c>
      <c r="F36" s="127">
        <v>21000</v>
      </c>
      <c r="G36" s="127">
        <v>21000</v>
      </c>
      <c r="H36" s="123" t="s">
        <v>121</v>
      </c>
      <c r="I36" s="123" t="s">
        <v>117</v>
      </c>
    </row>
    <row r="37" spans="1:9" x14ac:dyDescent="0.35">
      <c r="A37" s="128" t="s">
        <v>310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6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f ca="1">IF(TEXT(TODAY(),"dddd")="miércoles",TODAY()-1,IF(TEXT(TODAY(),"dddd")="jueves",TODAY()-1,TODAY()))</f>
        <v>46225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37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9" t="s">
        <v>9</v>
      </c>
      <c r="B9" s="79" t="s">
        <v>10</v>
      </c>
      <c r="C9" s="79" t="s">
        <v>11</v>
      </c>
      <c r="D9" s="80" t="s">
        <v>12</v>
      </c>
      <c r="E9" s="81" t="s">
        <v>47</v>
      </c>
      <c r="F9" s="81" t="s">
        <v>46</v>
      </c>
      <c r="G9" s="81" t="s">
        <v>19</v>
      </c>
      <c r="H9" s="79" t="s">
        <v>13</v>
      </c>
      <c r="I9" s="79" t="s">
        <v>14</v>
      </c>
    </row>
    <row r="10" spans="1:9" s="27" customFormat="1" ht="15.5" x14ac:dyDescent="0.35">
      <c r="A10" s="132" t="s">
        <v>311</v>
      </c>
      <c r="B10" s="132"/>
      <c r="C10" s="132"/>
      <c r="D10" s="132"/>
      <c r="E10" s="132"/>
      <c r="F10" s="132"/>
      <c r="G10" s="132"/>
      <c r="H10" s="132"/>
      <c r="I10" s="132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21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80</v>
      </c>
      <c r="B10" s="122" t="s">
        <v>81</v>
      </c>
      <c r="C10" s="122" t="s">
        <v>66</v>
      </c>
      <c r="D10" s="125">
        <v>150</v>
      </c>
      <c r="E10" s="125">
        <v>16000</v>
      </c>
      <c r="F10" s="125">
        <v>16000</v>
      </c>
      <c r="G10" s="125">
        <v>16000</v>
      </c>
      <c r="H10" s="122" t="s">
        <v>177</v>
      </c>
      <c r="I10" s="122" t="s">
        <v>84</v>
      </c>
    </row>
    <row r="11" spans="1:9" x14ac:dyDescent="0.35">
      <c r="A11" s="117" t="s">
        <v>55</v>
      </c>
      <c r="B11" s="117" t="s">
        <v>65</v>
      </c>
      <c r="C11" s="117" t="s">
        <v>85</v>
      </c>
      <c r="D11" s="126">
        <v>550</v>
      </c>
      <c r="E11" s="126">
        <v>6000</v>
      </c>
      <c r="F11" s="126">
        <v>5000</v>
      </c>
      <c r="G11" s="126">
        <v>5545</v>
      </c>
      <c r="H11" s="117" t="s">
        <v>147</v>
      </c>
      <c r="I11" s="117" t="s">
        <v>135</v>
      </c>
    </row>
    <row r="12" spans="1:9" x14ac:dyDescent="0.35">
      <c r="A12" s="117" t="s">
        <v>55</v>
      </c>
      <c r="B12" s="117" t="s">
        <v>65</v>
      </c>
      <c r="C12" s="117" t="s">
        <v>88</v>
      </c>
      <c r="D12" s="126">
        <v>150</v>
      </c>
      <c r="E12" s="126">
        <v>3500</v>
      </c>
      <c r="F12" s="126">
        <v>3500</v>
      </c>
      <c r="G12" s="126">
        <v>3500</v>
      </c>
      <c r="H12" s="117" t="s">
        <v>147</v>
      </c>
      <c r="I12" s="117" t="s">
        <v>99</v>
      </c>
    </row>
    <row r="13" spans="1:9" x14ac:dyDescent="0.35">
      <c r="A13" s="117" t="s">
        <v>95</v>
      </c>
      <c r="B13" s="117" t="s">
        <v>96</v>
      </c>
      <c r="C13" s="117" t="s">
        <v>82</v>
      </c>
      <c r="D13" s="126">
        <v>200</v>
      </c>
      <c r="E13" s="126">
        <v>15000</v>
      </c>
      <c r="F13" s="126">
        <v>15000</v>
      </c>
      <c r="G13" s="126">
        <v>15000</v>
      </c>
      <c r="H13" s="117" t="s">
        <v>308</v>
      </c>
      <c r="I13" s="117" t="s">
        <v>99</v>
      </c>
    </row>
    <row r="14" spans="1:9" x14ac:dyDescent="0.35">
      <c r="A14" s="117" t="s">
        <v>95</v>
      </c>
      <c r="B14" s="117" t="s">
        <v>96</v>
      </c>
      <c r="C14" s="117" t="s">
        <v>66</v>
      </c>
      <c r="D14" s="126">
        <v>200</v>
      </c>
      <c r="E14" s="126">
        <v>13000</v>
      </c>
      <c r="F14" s="126">
        <v>13000</v>
      </c>
      <c r="G14" s="126">
        <v>13000</v>
      </c>
      <c r="H14" s="117" t="s">
        <v>308</v>
      </c>
      <c r="I14" s="117" t="s">
        <v>99</v>
      </c>
    </row>
    <row r="15" spans="1:9" x14ac:dyDescent="0.35">
      <c r="A15" s="117" t="s">
        <v>95</v>
      </c>
      <c r="B15" s="117" t="s">
        <v>96</v>
      </c>
      <c r="C15" s="117" t="s">
        <v>57</v>
      </c>
      <c r="D15" s="126">
        <v>150</v>
      </c>
      <c r="E15" s="126">
        <v>12000</v>
      </c>
      <c r="F15" s="126">
        <v>12000</v>
      </c>
      <c r="G15" s="126">
        <v>12000</v>
      </c>
      <c r="H15" s="117" t="s">
        <v>308</v>
      </c>
      <c r="I15" s="117" t="s">
        <v>99</v>
      </c>
    </row>
    <row r="16" spans="1:9" x14ac:dyDescent="0.35">
      <c r="A16" s="117" t="s">
        <v>95</v>
      </c>
      <c r="B16" s="117" t="s">
        <v>104</v>
      </c>
      <c r="C16" s="117" t="s">
        <v>66</v>
      </c>
      <c r="D16" s="126">
        <v>200</v>
      </c>
      <c r="E16" s="126">
        <v>10000</v>
      </c>
      <c r="F16" s="126">
        <v>10000</v>
      </c>
      <c r="G16" s="126">
        <v>10000</v>
      </c>
      <c r="H16" s="117" t="s">
        <v>308</v>
      </c>
      <c r="I16" s="117" t="s">
        <v>99</v>
      </c>
    </row>
    <row r="17" spans="1:9" x14ac:dyDescent="0.35">
      <c r="A17" s="117" t="s">
        <v>95</v>
      </c>
      <c r="B17" s="117" t="s">
        <v>250</v>
      </c>
      <c r="C17" s="117" t="s">
        <v>66</v>
      </c>
      <c r="D17" s="126">
        <v>250</v>
      </c>
      <c r="E17" s="126">
        <v>10000</v>
      </c>
      <c r="F17" s="126">
        <v>10000</v>
      </c>
      <c r="G17" s="126">
        <v>10000</v>
      </c>
      <c r="H17" s="117" t="s">
        <v>308</v>
      </c>
      <c r="I17" s="117" t="s">
        <v>99</v>
      </c>
    </row>
    <row r="18" spans="1:9" x14ac:dyDescent="0.35">
      <c r="A18" s="117" t="s">
        <v>105</v>
      </c>
      <c r="B18" s="117" t="s">
        <v>106</v>
      </c>
      <c r="C18" s="117" t="s">
        <v>66</v>
      </c>
      <c r="D18" s="126">
        <v>150</v>
      </c>
      <c r="E18" s="126">
        <v>5000</v>
      </c>
      <c r="F18" s="126">
        <v>5000</v>
      </c>
      <c r="G18" s="126">
        <v>5000</v>
      </c>
      <c r="H18" s="117" t="s">
        <v>101</v>
      </c>
      <c r="I18" s="117" t="s">
        <v>99</v>
      </c>
    </row>
    <row r="19" spans="1:9" x14ac:dyDescent="0.35">
      <c r="A19" s="117" t="s">
        <v>105</v>
      </c>
      <c r="B19" s="117" t="s">
        <v>108</v>
      </c>
      <c r="C19" s="117" t="s">
        <v>66</v>
      </c>
      <c r="D19" s="126">
        <v>200</v>
      </c>
      <c r="E19" s="126">
        <v>6000</v>
      </c>
      <c r="F19" s="126">
        <v>6000</v>
      </c>
      <c r="G19" s="126">
        <v>6000</v>
      </c>
      <c r="H19" s="117" t="s">
        <v>101</v>
      </c>
      <c r="I19" s="117" t="s">
        <v>99</v>
      </c>
    </row>
    <row r="20" spans="1:9" x14ac:dyDescent="0.35">
      <c r="A20" s="117" t="s">
        <v>109</v>
      </c>
      <c r="B20" s="117" t="s">
        <v>110</v>
      </c>
      <c r="C20" s="117" t="s">
        <v>66</v>
      </c>
      <c r="D20" s="126">
        <v>150</v>
      </c>
      <c r="E20" s="126">
        <v>28000</v>
      </c>
      <c r="F20" s="126">
        <v>28000</v>
      </c>
      <c r="G20" s="126">
        <v>28000</v>
      </c>
      <c r="H20" s="117" t="s">
        <v>83</v>
      </c>
      <c r="I20" s="117" t="s">
        <v>59</v>
      </c>
    </row>
    <row r="21" spans="1:9" x14ac:dyDescent="0.35">
      <c r="A21" s="117" t="s">
        <v>109</v>
      </c>
      <c r="B21" s="117" t="s">
        <v>110</v>
      </c>
      <c r="C21" s="117" t="s">
        <v>57</v>
      </c>
      <c r="D21" s="126">
        <v>200</v>
      </c>
      <c r="E21" s="126">
        <v>24000</v>
      </c>
      <c r="F21" s="126">
        <v>24000</v>
      </c>
      <c r="G21" s="126">
        <v>24000</v>
      </c>
      <c r="H21" s="117" t="s">
        <v>83</v>
      </c>
      <c r="I21" s="117" t="s">
        <v>59</v>
      </c>
    </row>
    <row r="22" spans="1:9" x14ac:dyDescent="0.35">
      <c r="A22" s="117" t="s">
        <v>112</v>
      </c>
      <c r="B22" s="117" t="s">
        <v>211</v>
      </c>
      <c r="C22" s="117" t="s">
        <v>66</v>
      </c>
      <c r="D22" s="126">
        <v>200</v>
      </c>
      <c r="E22" s="126">
        <v>14000</v>
      </c>
      <c r="F22" s="126">
        <v>14000</v>
      </c>
      <c r="G22" s="126">
        <v>14000</v>
      </c>
      <c r="H22" s="117" t="s">
        <v>212</v>
      </c>
      <c r="I22" s="117" t="s">
        <v>99</v>
      </c>
    </row>
    <row r="23" spans="1:9" x14ac:dyDescent="0.35">
      <c r="A23" s="117" t="s">
        <v>112</v>
      </c>
      <c r="B23" s="117" t="s">
        <v>113</v>
      </c>
      <c r="C23" s="117" t="s">
        <v>66</v>
      </c>
      <c r="D23" s="126">
        <v>200</v>
      </c>
      <c r="E23" s="126">
        <v>14000</v>
      </c>
      <c r="F23" s="126">
        <v>14000</v>
      </c>
      <c r="G23" s="126">
        <v>14000</v>
      </c>
      <c r="H23" s="117" t="s">
        <v>212</v>
      </c>
      <c r="I23" s="117" t="s">
        <v>99</v>
      </c>
    </row>
    <row r="24" spans="1:9" x14ac:dyDescent="0.35">
      <c r="A24" s="117" t="s">
        <v>112</v>
      </c>
      <c r="B24" s="117" t="s">
        <v>113</v>
      </c>
      <c r="C24" s="117" t="s">
        <v>57</v>
      </c>
      <c r="D24" s="126">
        <v>200</v>
      </c>
      <c r="E24" s="126">
        <v>11000</v>
      </c>
      <c r="F24" s="126">
        <v>11000</v>
      </c>
      <c r="G24" s="126">
        <v>11000</v>
      </c>
      <c r="H24" s="117" t="s">
        <v>212</v>
      </c>
      <c r="I24" s="117" t="s">
        <v>99</v>
      </c>
    </row>
    <row r="25" spans="1:9" x14ac:dyDescent="0.35">
      <c r="A25" s="117" t="s">
        <v>114</v>
      </c>
      <c r="B25" s="117" t="s">
        <v>115</v>
      </c>
      <c r="C25" s="117" t="s">
        <v>68</v>
      </c>
      <c r="D25" s="126">
        <v>50</v>
      </c>
      <c r="E25" s="126">
        <v>24000</v>
      </c>
      <c r="F25" s="126">
        <v>24000</v>
      </c>
      <c r="G25" s="126">
        <v>24000</v>
      </c>
      <c r="H25" s="117" t="s">
        <v>233</v>
      </c>
      <c r="I25" s="117" t="s">
        <v>117</v>
      </c>
    </row>
    <row r="26" spans="1:9" ht="15" thickBot="1" x14ac:dyDescent="0.4">
      <c r="A26" s="123" t="s">
        <v>119</v>
      </c>
      <c r="B26" s="123" t="s">
        <v>65</v>
      </c>
      <c r="C26" s="123" t="s">
        <v>122</v>
      </c>
      <c r="D26" s="127">
        <v>1100</v>
      </c>
      <c r="E26" s="127">
        <v>19000</v>
      </c>
      <c r="F26" s="127">
        <v>18000</v>
      </c>
      <c r="G26" s="127">
        <v>18545</v>
      </c>
      <c r="H26" s="123" t="s">
        <v>121</v>
      </c>
      <c r="I26" s="123" t="s">
        <v>117</v>
      </c>
    </row>
    <row r="27" spans="1:9" x14ac:dyDescent="0.35">
      <c r="A27" s="128" t="s">
        <v>310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39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80</v>
      </c>
      <c r="B10" s="122" t="s">
        <v>81</v>
      </c>
      <c r="C10" s="122" t="s">
        <v>66</v>
      </c>
      <c r="D10" s="125">
        <v>250</v>
      </c>
      <c r="E10" s="125">
        <v>23000</v>
      </c>
      <c r="F10" s="125">
        <v>23000</v>
      </c>
      <c r="G10" s="125">
        <v>23000</v>
      </c>
      <c r="H10" s="122" t="s">
        <v>62</v>
      </c>
      <c r="I10" s="122" t="s">
        <v>84</v>
      </c>
    </row>
    <row r="11" spans="1:9" x14ac:dyDescent="0.35">
      <c r="A11" s="117" t="s">
        <v>80</v>
      </c>
      <c r="B11" s="117" t="s">
        <v>81</v>
      </c>
      <c r="C11" s="117" t="s">
        <v>57</v>
      </c>
      <c r="D11" s="126">
        <v>250</v>
      </c>
      <c r="E11" s="126">
        <v>20000</v>
      </c>
      <c r="F11" s="126">
        <v>20000</v>
      </c>
      <c r="G11" s="126">
        <v>20000</v>
      </c>
      <c r="H11" s="117" t="s">
        <v>62</v>
      </c>
      <c r="I11" s="117" t="s">
        <v>84</v>
      </c>
    </row>
    <row r="12" spans="1:9" x14ac:dyDescent="0.35">
      <c r="A12" s="117" t="s">
        <v>55</v>
      </c>
      <c r="B12" s="117" t="s">
        <v>65</v>
      </c>
      <c r="C12" s="117" t="s">
        <v>85</v>
      </c>
      <c r="D12" s="126">
        <v>2050</v>
      </c>
      <c r="E12" s="126">
        <v>7000</v>
      </c>
      <c r="F12" s="126">
        <v>6500</v>
      </c>
      <c r="G12" s="126">
        <v>6768</v>
      </c>
      <c r="H12" s="117" t="s">
        <v>147</v>
      </c>
      <c r="I12" s="117" t="s">
        <v>155</v>
      </c>
    </row>
    <row r="13" spans="1:9" x14ac:dyDescent="0.35">
      <c r="A13" s="117" t="s">
        <v>92</v>
      </c>
      <c r="B13" s="117" t="s">
        <v>65</v>
      </c>
      <c r="C13" s="117" t="s">
        <v>66</v>
      </c>
      <c r="D13" s="126">
        <v>100</v>
      </c>
      <c r="E13" s="126">
        <v>14000</v>
      </c>
      <c r="F13" s="126">
        <v>14000</v>
      </c>
      <c r="G13" s="126">
        <v>14000</v>
      </c>
      <c r="H13" s="117" t="s">
        <v>93</v>
      </c>
      <c r="I13" s="117" t="s">
        <v>94</v>
      </c>
    </row>
    <row r="14" spans="1:9" x14ac:dyDescent="0.35">
      <c r="A14" s="117" t="s">
        <v>95</v>
      </c>
      <c r="B14" s="117" t="s">
        <v>103</v>
      </c>
      <c r="C14" s="117" t="s">
        <v>66</v>
      </c>
      <c r="D14" s="126">
        <v>350</v>
      </c>
      <c r="E14" s="126">
        <v>17000</v>
      </c>
      <c r="F14" s="126">
        <v>17000</v>
      </c>
      <c r="G14" s="126">
        <v>17000</v>
      </c>
      <c r="H14" s="117" t="s">
        <v>189</v>
      </c>
      <c r="I14" s="117" t="s">
        <v>84</v>
      </c>
    </row>
    <row r="15" spans="1:9" x14ac:dyDescent="0.35">
      <c r="A15" s="117" t="s">
        <v>95</v>
      </c>
      <c r="B15" s="117" t="s">
        <v>104</v>
      </c>
      <c r="C15" s="117" t="s">
        <v>66</v>
      </c>
      <c r="D15" s="126">
        <v>350</v>
      </c>
      <c r="E15" s="126">
        <v>17000</v>
      </c>
      <c r="F15" s="126">
        <v>17000</v>
      </c>
      <c r="G15" s="126">
        <v>17000</v>
      </c>
      <c r="H15" s="117" t="s">
        <v>189</v>
      </c>
      <c r="I15" s="117" t="s">
        <v>84</v>
      </c>
    </row>
    <row r="16" spans="1:9" x14ac:dyDescent="0.35">
      <c r="A16" s="117" t="s">
        <v>190</v>
      </c>
      <c r="B16" s="117" t="s">
        <v>191</v>
      </c>
      <c r="C16" s="117" t="s">
        <v>66</v>
      </c>
      <c r="D16" s="126">
        <v>100</v>
      </c>
      <c r="E16" s="126">
        <v>17000</v>
      </c>
      <c r="F16" s="126">
        <v>17000</v>
      </c>
      <c r="G16" s="126">
        <v>17000</v>
      </c>
      <c r="H16" s="117" t="s">
        <v>192</v>
      </c>
      <c r="I16" s="117" t="s">
        <v>99</v>
      </c>
    </row>
    <row r="17" spans="1:9" x14ac:dyDescent="0.35">
      <c r="A17" s="117" t="s">
        <v>112</v>
      </c>
      <c r="B17" s="117" t="s">
        <v>113</v>
      </c>
      <c r="C17" s="117" t="s">
        <v>66</v>
      </c>
      <c r="D17" s="126">
        <v>250</v>
      </c>
      <c r="E17" s="126">
        <v>17000</v>
      </c>
      <c r="F17" s="126">
        <v>17000</v>
      </c>
      <c r="G17" s="126">
        <v>17000</v>
      </c>
      <c r="H17" s="117" t="s">
        <v>189</v>
      </c>
      <c r="I17" s="117" t="s">
        <v>99</v>
      </c>
    </row>
    <row r="18" spans="1:9" x14ac:dyDescent="0.35">
      <c r="A18" s="117" t="s">
        <v>119</v>
      </c>
      <c r="B18" s="117" t="s">
        <v>65</v>
      </c>
      <c r="C18" s="117" t="s">
        <v>122</v>
      </c>
      <c r="D18" s="126">
        <v>2500</v>
      </c>
      <c r="E18" s="126">
        <v>24000</v>
      </c>
      <c r="F18" s="126">
        <v>23000</v>
      </c>
      <c r="G18" s="126">
        <v>23500</v>
      </c>
      <c r="H18" s="117" t="s">
        <v>121</v>
      </c>
      <c r="I18" s="117" t="s">
        <v>117</v>
      </c>
    </row>
    <row r="19" spans="1:9" ht="15" thickBot="1" x14ac:dyDescent="0.4">
      <c r="A19" s="123" t="s">
        <v>193</v>
      </c>
      <c r="B19" s="123" t="s">
        <v>194</v>
      </c>
      <c r="C19" s="123" t="s">
        <v>66</v>
      </c>
      <c r="D19" s="127">
        <v>110</v>
      </c>
      <c r="E19" s="127">
        <v>17000</v>
      </c>
      <c r="F19" s="127">
        <v>17000</v>
      </c>
      <c r="G19" s="127">
        <v>17000</v>
      </c>
      <c r="H19" s="123" t="s">
        <v>195</v>
      </c>
      <c r="I19" s="123" t="s">
        <v>99</v>
      </c>
    </row>
    <row r="20" spans="1:9" x14ac:dyDescent="0.35">
      <c r="A20" s="128" t="s">
        <v>310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38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279</v>
      </c>
      <c r="B10" s="122" t="s">
        <v>280</v>
      </c>
      <c r="C10" s="122" t="s">
        <v>66</v>
      </c>
      <c r="D10" s="125">
        <v>85</v>
      </c>
      <c r="E10" s="125">
        <v>26000</v>
      </c>
      <c r="F10" s="125">
        <v>26000</v>
      </c>
      <c r="G10" s="125">
        <v>26000</v>
      </c>
      <c r="H10" s="122" t="s">
        <v>281</v>
      </c>
      <c r="I10" s="122" t="s">
        <v>135</v>
      </c>
    </row>
    <row r="11" spans="1:9" x14ac:dyDescent="0.35">
      <c r="A11" s="117" t="s">
        <v>80</v>
      </c>
      <c r="B11" s="117" t="s">
        <v>81</v>
      </c>
      <c r="C11" s="117" t="s">
        <v>66</v>
      </c>
      <c r="D11" s="126">
        <v>250</v>
      </c>
      <c r="E11" s="126">
        <v>24000</v>
      </c>
      <c r="F11" s="126">
        <v>24000</v>
      </c>
      <c r="G11" s="126">
        <v>24000</v>
      </c>
      <c r="H11" s="117" t="s">
        <v>177</v>
      </c>
      <c r="I11" s="117" t="s">
        <v>99</v>
      </c>
    </row>
    <row r="12" spans="1:9" x14ac:dyDescent="0.35">
      <c r="A12" s="117" t="s">
        <v>55</v>
      </c>
      <c r="B12" s="117" t="s">
        <v>65</v>
      </c>
      <c r="C12" s="117" t="s">
        <v>85</v>
      </c>
      <c r="D12" s="126">
        <v>350</v>
      </c>
      <c r="E12" s="126">
        <v>6000</v>
      </c>
      <c r="F12" s="126">
        <v>6000</v>
      </c>
      <c r="G12" s="126">
        <v>6000</v>
      </c>
      <c r="H12" s="117" t="s">
        <v>249</v>
      </c>
      <c r="I12" s="117" t="s">
        <v>99</v>
      </c>
    </row>
    <row r="13" spans="1:9" x14ac:dyDescent="0.35">
      <c r="A13" s="117" t="s">
        <v>55</v>
      </c>
      <c r="B13" s="117" t="s">
        <v>65</v>
      </c>
      <c r="C13" s="117" t="s">
        <v>88</v>
      </c>
      <c r="D13" s="126">
        <v>10</v>
      </c>
      <c r="E13" s="126">
        <v>70000</v>
      </c>
      <c r="F13" s="126">
        <v>70000</v>
      </c>
      <c r="G13" s="126">
        <v>70000</v>
      </c>
      <c r="H13" s="117" t="s">
        <v>220</v>
      </c>
      <c r="I13" s="117" t="s">
        <v>99</v>
      </c>
    </row>
    <row r="14" spans="1:9" x14ac:dyDescent="0.35">
      <c r="A14" s="117" t="s">
        <v>55</v>
      </c>
      <c r="B14" s="117" t="s">
        <v>65</v>
      </c>
      <c r="C14" s="117" t="s">
        <v>282</v>
      </c>
      <c r="D14" s="126">
        <v>215</v>
      </c>
      <c r="E14" s="126">
        <v>8000</v>
      </c>
      <c r="F14" s="126">
        <v>8000</v>
      </c>
      <c r="G14" s="126">
        <v>8000</v>
      </c>
      <c r="H14" s="117" t="s">
        <v>249</v>
      </c>
      <c r="I14" s="117" t="s">
        <v>99</v>
      </c>
    </row>
    <row r="15" spans="1:9" x14ac:dyDescent="0.35">
      <c r="A15" s="117" t="s">
        <v>55</v>
      </c>
      <c r="B15" s="117" t="s">
        <v>264</v>
      </c>
      <c r="C15" s="117" t="s">
        <v>66</v>
      </c>
      <c r="D15" s="126">
        <v>50</v>
      </c>
      <c r="E15" s="126">
        <v>36000</v>
      </c>
      <c r="F15" s="126">
        <v>36000</v>
      </c>
      <c r="G15" s="126">
        <v>36000</v>
      </c>
      <c r="H15" s="117" t="s">
        <v>58</v>
      </c>
      <c r="I15" s="117" t="s">
        <v>59</v>
      </c>
    </row>
    <row r="16" spans="1:9" x14ac:dyDescent="0.35">
      <c r="A16" s="117" t="s">
        <v>89</v>
      </c>
      <c r="B16" s="117" t="s">
        <v>222</v>
      </c>
      <c r="C16" s="117" t="s">
        <v>66</v>
      </c>
      <c r="D16" s="126">
        <v>210</v>
      </c>
      <c r="E16" s="126">
        <v>10000</v>
      </c>
      <c r="F16" s="126">
        <v>10000</v>
      </c>
      <c r="G16" s="126">
        <v>10000</v>
      </c>
      <c r="H16" s="117" t="s">
        <v>83</v>
      </c>
      <c r="I16" s="117" t="s">
        <v>99</v>
      </c>
    </row>
    <row r="17" spans="1:9" x14ac:dyDescent="0.35">
      <c r="A17" s="117" t="s">
        <v>92</v>
      </c>
      <c r="B17" s="117" t="s">
        <v>65</v>
      </c>
      <c r="C17" s="117" t="s">
        <v>66</v>
      </c>
      <c r="D17" s="126">
        <v>435</v>
      </c>
      <c r="E17" s="126">
        <v>15000</v>
      </c>
      <c r="F17" s="126">
        <v>14000</v>
      </c>
      <c r="G17" s="126">
        <v>14425</v>
      </c>
      <c r="H17" s="117" t="s">
        <v>93</v>
      </c>
      <c r="I17" s="117" t="s">
        <v>59</v>
      </c>
    </row>
    <row r="18" spans="1:9" x14ac:dyDescent="0.35">
      <c r="A18" s="117" t="s">
        <v>95</v>
      </c>
      <c r="B18" s="117" t="s">
        <v>283</v>
      </c>
      <c r="C18" s="117" t="s">
        <v>97</v>
      </c>
      <c r="D18" s="126">
        <v>250</v>
      </c>
      <c r="E18" s="126">
        <v>22000</v>
      </c>
      <c r="F18" s="126">
        <v>22000</v>
      </c>
      <c r="G18" s="126">
        <v>22000</v>
      </c>
      <c r="H18" s="117" t="s">
        <v>98</v>
      </c>
      <c r="I18" s="117" t="s">
        <v>167</v>
      </c>
    </row>
    <row r="19" spans="1:9" x14ac:dyDescent="0.35">
      <c r="A19" s="117" t="s">
        <v>95</v>
      </c>
      <c r="B19" s="117" t="s">
        <v>96</v>
      </c>
      <c r="C19" s="117" t="s">
        <v>97</v>
      </c>
      <c r="D19" s="126">
        <v>250</v>
      </c>
      <c r="E19" s="126">
        <v>24000</v>
      </c>
      <c r="F19" s="126">
        <v>24000</v>
      </c>
      <c r="G19" s="126">
        <v>24000</v>
      </c>
      <c r="H19" s="117" t="s">
        <v>98</v>
      </c>
      <c r="I19" s="117" t="s">
        <v>167</v>
      </c>
    </row>
    <row r="20" spans="1:9" x14ac:dyDescent="0.35">
      <c r="A20" s="117" t="s">
        <v>95</v>
      </c>
      <c r="B20" s="117" t="s">
        <v>96</v>
      </c>
      <c r="C20" s="117" t="s">
        <v>66</v>
      </c>
      <c r="D20" s="126">
        <v>311</v>
      </c>
      <c r="E20" s="126">
        <v>14000</v>
      </c>
      <c r="F20" s="126">
        <v>14000</v>
      </c>
      <c r="G20" s="126">
        <v>14000</v>
      </c>
      <c r="H20" s="117" t="s">
        <v>101</v>
      </c>
      <c r="I20" s="117" t="s">
        <v>167</v>
      </c>
    </row>
    <row r="21" spans="1:9" x14ac:dyDescent="0.35">
      <c r="A21" s="117" t="s">
        <v>95</v>
      </c>
      <c r="B21" s="117" t="s">
        <v>103</v>
      </c>
      <c r="C21" s="117" t="s">
        <v>97</v>
      </c>
      <c r="D21" s="126">
        <v>355</v>
      </c>
      <c r="E21" s="126">
        <v>25000</v>
      </c>
      <c r="F21" s="126">
        <v>25000</v>
      </c>
      <c r="G21" s="126">
        <v>25000</v>
      </c>
      <c r="H21" s="117" t="s">
        <v>98</v>
      </c>
      <c r="I21" s="117" t="s">
        <v>167</v>
      </c>
    </row>
    <row r="22" spans="1:9" x14ac:dyDescent="0.35">
      <c r="A22" s="117" t="s">
        <v>95</v>
      </c>
      <c r="B22" s="117" t="s">
        <v>104</v>
      </c>
      <c r="C22" s="117" t="s">
        <v>97</v>
      </c>
      <c r="D22" s="126">
        <v>250</v>
      </c>
      <c r="E22" s="126">
        <v>22000</v>
      </c>
      <c r="F22" s="126">
        <v>22000</v>
      </c>
      <c r="G22" s="126">
        <v>22000</v>
      </c>
      <c r="H22" s="117" t="s">
        <v>98</v>
      </c>
      <c r="I22" s="117" t="s">
        <v>167</v>
      </c>
    </row>
    <row r="23" spans="1:9" x14ac:dyDescent="0.35">
      <c r="A23" s="117" t="s">
        <v>95</v>
      </c>
      <c r="B23" s="117" t="s">
        <v>284</v>
      </c>
      <c r="C23" s="117" t="s">
        <v>97</v>
      </c>
      <c r="D23" s="126">
        <v>250</v>
      </c>
      <c r="E23" s="126">
        <v>25000</v>
      </c>
      <c r="F23" s="126">
        <v>25000</v>
      </c>
      <c r="G23" s="126">
        <v>25000</v>
      </c>
      <c r="H23" s="117" t="s">
        <v>98</v>
      </c>
      <c r="I23" s="117" t="s">
        <v>167</v>
      </c>
    </row>
    <row r="24" spans="1:9" x14ac:dyDescent="0.35">
      <c r="A24" s="117" t="s">
        <v>95</v>
      </c>
      <c r="B24" s="117" t="s">
        <v>250</v>
      </c>
      <c r="C24" s="117" t="s">
        <v>97</v>
      </c>
      <c r="D24" s="126">
        <v>250</v>
      </c>
      <c r="E24" s="126">
        <v>22000</v>
      </c>
      <c r="F24" s="126">
        <v>22000</v>
      </c>
      <c r="G24" s="126">
        <v>22000</v>
      </c>
      <c r="H24" s="117" t="s">
        <v>98</v>
      </c>
      <c r="I24" s="117" t="s">
        <v>167</v>
      </c>
    </row>
    <row r="25" spans="1:9" x14ac:dyDescent="0.35">
      <c r="A25" s="117" t="s">
        <v>190</v>
      </c>
      <c r="B25" s="117" t="s">
        <v>191</v>
      </c>
      <c r="C25" s="117" t="s">
        <v>66</v>
      </c>
      <c r="D25" s="126">
        <v>125</v>
      </c>
      <c r="E25" s="126">
        <v>20000</v>
      </c>
      <c r="F25" s="126">
        <v>20000</v>
      </c>
      <c r="G25" s="126">
        <v>20000</v>
      </c>
      <c r="H25" s="117" t="s">
        <v>212</v>
      </c>
      <c r="I25" s="117" t="s">
        <v>167</v>
      </c>
    </row>
    <row r="26" spans="1:9" x14ac:dyDescent="0.35">
      <c r="A26" s="117" t="s">
        <v>105</v>
      </c>
      <c r="B26" s="117" t="s">
        <v>266</v>
      </c>
      <c r="C26" s="117" t="s">
        <v>66</v>
      </c>
      <c r="D26" s="126">
        <v>155</v>
      </c>
      <c r="E26" s="126">
        <v>13000</v>
      </c>
      <c r="F26" s="126">
        <v>13000</v>
      </c>
      <c r="G26" s="126">
        <v>13000</v>
      </c>
      <c r="H26" s="117" t="s">
        <v>101</v>
      </c>
      <c r="I26" s="117" t="s">
        <v>99</v>
      </c>
    </row>
    <row r="27" spans="1:9" x14ac:dyDescent="0.35">
      <c r="A27" s="117" t="s">
        <v>105</v>
      </c>
      <c r="B27" s="117" t="s">
        <v>208</v>
      </c>
      <c r="C27" s="117" t="s">
        <v>66</v>
      </c>
      <c r="D27" s="126">
        <v>210</v>
      </c>
      <c r="E27" s="126">
        <v>8000</v>
      </c>
      <c r="F27" s="126">
        <v>8000</v>
      </c>
      <c r="G27" s="126">
        <v>8000</v>
      </c>
      <c r="H27" s="117" t="s">
        <v>101</v>
      </c>
      <c r="I27" s="117" t="s">
        <v>99</v>
      </c>
    </row>
    <row r="28" spans="1:9" x14ac:dyDescent="0.35">
      <c r="A28" s="117" t="s">
        <v>105</v>
      </c>
      <c r="B28" s="117" t="s">
        <v>208</v>
      </c>
      <c r="C28" s="117" t="s">
        <v>66</v>
      </c>
      <c r="D28" s="126">
        <v>13</v>
      </c>
      <c r="E28" s="126">
        <v>140000</v>
      </c>
      <c r="F28" s="126">
        <v>140000</v>
      </c>
      <c r="G28" s="126">
        <v>140000</v>
      </c>
      <c r="H28" s="117" t="s">
        <v>226</v>
      </c>
      <c r="I28" s="117" t="s">
        <v>99</v>
      </c>
    </row>
    <row r="29" spans="1:9" x14ac:dyDescent="0.35">
      <c r="A29" s="117" t="s">
        <v>109</v>
      </c>
      <c r="B29" s="117" t="s">
        <v>110</v>
      </c>
      <c r="C29" s="117" t="s">
        <v>82</v>
      </c>
      <c r="D29" s="126">
        <v>250</v>
      </c>
      <c r="E29" s="126">
        <v>27000</v>
      </c>
      <c r="F29" s="126">
        <v>27000</v>
      </c>
      <c r="G29" s="126">
        <v>27000</v>
      </c>
      <c r="H29" s="117" t="s">
        <v>83</v>
      </c>
      <c r="I29" s="117" t="s">
        <v>59</v>
      </c>
    </row>
    <row r="30" spans="1:9" x14ac:dyDescent="0.35">
      <c r="A30" s="117" t="s">
        <v>109</v>
      </c>
      <c r="B30" s="117" t="s">
        <v>110</v>
      </c>
      <c r="C30" s="117" t="s">
        <v>66</v>
      </c>
      <c r="D30" s="126">
        <v>278</v>
      </c>
      <c r="E30" s="126">
        <v>25000</v>
      </c>
      <c r="F30" s="126">
        <v>24000</v>
      </c>
      <c r="G30" s="126">
        <v>24460</v>
      </c>
      <c r="H30" s="117" t="s">
        <v>83</v>
      </c>
      <c r="I30" s="117" t="s">
        <v>59</v>
      </c>
    </row>
    <row r="31" spans="1:9" x14ac:dyDescent="0.35">
      <c r="A31" s="117" t="s">
        <v>109</v>
      </c>
      <c r="B31" s="117" t="s">
        <v>110</v>
      </c>
      <c r="C31" s="117" t="s">
        <v>57</v>
      </c>
      <c r="D31" s="126">
        <v>250</v>
      </c>
      <c r="E31" s="126">
        <v>20000</v>
      </c>
      <c r="F31" s="126">
        <v>20000</v>
      </c>
      <c r="G31" s="126">
        <v>20000</v>
      </c>
      <c r="H31" s="117" t="s">
        <v>83</v>
      </c>
      <c r="I31" s="117" t="s">
        <v>59</v>
      </c>
    </row>
    <row r="32" spans="1:9" x14ac:dyDescent="0.35">
      <c r="A32" s="117" t="s">
        <v>112</v>
      </c>
      <c r="B32" s="117" t="s">
        <v>213</v>
      </c>
      <c r="C32" s="117" t="s">
        <v>97</v>
      </c>
      <c r="D32" s="126">
        <v>125</v>
      </c>
      <c r="E32" s="126">
        <v>14000</v>
      </c>
      <c r="F32" s="126">
        <v>14000</v>
      </c>
      <c r="G32" s="126">
        <v>14000</v>
      </c>
      <c r="H32" s="117" t="s">
        <v>285</v>
      </c>
      <c r="I32" s="117" t="s">
        <v>99</v>
      </c>
    </row>
    <row r="33" spans="1:9" x14ac:dyDescent="0.35">
      <c r="A33" s="117" t="s">
        <v>112</v>
      </c>
      <c r="B33" s="117" t="s">
        <v>113</v>
      </c>
      <c r="C33" s="117" t="s">
        <v>100</v>
      </c>
      <c r="D33" s="126">
        <v>200</v>
      </c>
      <c r="E33" s="126">
        <v>29000</v>
      </c>
      <c r="F33" s="126">
        <v>29000</v>
      </c>
      <c r="G33" s="126">
        <v>29000</v>
      </c>
      <c r="H33" s="117" t="s">
        <v>98</v>
      </c>
      <c r="I33" s="117" t="s">
        <v>99</v>
      </c>
    </row>
    <row r="34" spans="1:9" x14ac:dyDescent="0.35">
      <c r="A34" s="117" t="s">
        <v>112</v>
      </c>
      <c r="B34" s="117" t="s">
        <v>113</v>
      </c>
      <c r="C34" s="117" t="s">
        <v>66</v>
      </c>
      <c r="D34" s="126">
        <v>155</v>
      </c>
      <c r="E34" s="126">
        <v>20000</v>
      </c>
      <c r="F34" s="126">
        <v>20000</v>
      </c>
      <c r="G34" s="126">
        <v>20000</v>
      </c>
      <c r="H34" s="117" t="s">
        <v>212</v>
      </c>
      <c r="I34" s="117" t="s">
        <v>99</v>
      </c>
    </row>
    <row r="35" spans="1:9" x14ac:dyDescent="0.35">
      <c r="A35" s="117" t="s">
        <v>114</v>
      </c>
      <c r="B35" s="117" t="s">
        <v>115</v>
      </c>
      <c r="C35" s="117" t="s">
        <v>57</v>
      </c>
      <c r="D35" s="126">
        <v>125</v>
      </c>
      <c r="E35" s="126">
        <v>32000</v>
      </c>
      <c r="F35" s="126">
        <v>32000</v>
      </c>
      <c r="G35" s="126">
        <v>32000</v>
      </c>
      <c r="H35" s="117" t="s">
        <v>232</v>
      </c>
      <c r="I35" s="117" t="s">
        <v>117</v>
      </c>
    </row>
    <row r="36" spans="1:9" x14ac:dyDescent="0.35">
      <c r="A36" s="117" t="s">
        <v>119</v>
      </c>
      <c r="B36" s="117" t="s">
        <v>268</v>
      </c>
      <c r="C36" s="117" t="s">
        <v>269</v>
      </c>
      <c r="D36" s="126">
        <v>155</v>
      </c>
      <c r="E36" s="126">
        <v>32000</v>
      </c>
      <c r="F36" s="126">
        <v>32000</v>
      </c>
      <c r="G36" s="126">
        <v>32000</v>
      </c>
      <c r="H36" s="117" t="s">
        <v>121</v>
      </c>
      <c r="I36" s="117" t="s">
        <v>117</v>
      </c>
    </row>
    <row r="37" spans="1:9" x14ac:dyDescent="0.35">
      <c r="A37" s="117" t="s">
        <v>119</v>
      </c>
      <c r="B37" s="117" t="s">
        <v>268</v>
      </c>
      <c r="C37" s="117" t="s">
        <v>270</v>
      </c>
      <c r="D37" s="126">
        <v>125</v>
      </c>
      <c r="E37" s="126">
        <v>30000</v>
      </c>
      <c r="F37" s="126">
        <v>30000</v>
      </c>
      <c r="G37" s="126">
        <v>30000</v>
      </c>
      <c r="H37" s="117" t="s">
        <v>121</v>
      </c>
      <c r="I37" s="117" t="s">
        <v>117</v>
      </c>
    </row>
    <row r="38" spans="1:9" x14ac:dyDescent="0.35">
      <c r="A38" s="117" t="s">
        <v>119</v>
      </c>
      <c r="B38" s="117" t="s">
        <v>65</v>
      </c>
      <c r="C38" s="117" t="s">
        <v>120</v>
      </c>
      <c r="D38" s="126">
        <v>955</v>
      </c>
      <c r="E38" s="126">
        <v>21000</v>
      </c>
      <c r="F38" s="126">
        <v>19000</v>
      </c>
      <c r="G38" s="126">
        <v>20393</v>
      </c>
      <c r="H38" s="117" t="s">
        <v>121</v>
      </c>
      <c r="I38" s="117" t="s">
        <v>117</v>
      </c>
    </row>
    <row r="39" spans="1:9" ht="15" thickBot="1" x14ac:dyDescent="0.4">
      <c r="A39" s="123" t="s">
        <v>193</v>
      </c>
      <c r="B39" s="123" t="s">
        <v>194</v>
      </c>
      <c r="C39" s="123" t="s">
        <v>66</v>
      </c>
      <c r="D39" s="127">
        <v>180</v>
      </c>
      <c r="E39" s="127">
        <v>17000</v>
      </c>
      <c r="F39" s="127">
        <v>17000</v>
      </c>
      <c r="G39" s="127">
        <v>17000</v>
      </c>
      <c r="H39" s="123" t="s">
        <v>101</v>
      </c>
      <c r="I39" s="123" t="s">
        <v>99</v>
      </c>
    </row>
    <row r="40" spans="1:9" x14ac:dyDescent="0.35">
      <c r="A40" s="128" t="s">
        <v>310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42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80</v>
      </c>
      <c r="B10" s="122" t="s">
        <v>81</v>
      </c>
      <c r="C10" s="122" t="s">
        <v>66</v>
      </c>
      <c r="D10" s="125">
        <v>130</v>
      </c>
      <c r="E10" s="125">
        <v>16000</v>
      </c>
      <c r="F10" s="125">
        <v>15000</v>
      </c>
      <c r="G10" s="125">
        <v>15385</v>
      </c>
      <c r="H10" s="122" t="s">
        <v>177</v>
      </c>
      <c r="I10" s="122" t="s">
        <v>84</v>
      </c>
    </row>
    <row r="11" spans="1:9" x14ac:dyDescent="0.35">
      <c r="A11" s="117" t="s">
        <v>55</v>
      </c>
      <c r="B11" s="117" t="s">
        <v>65</v>
      </c>
      <c r="C11" s="117" t="s">
        <v>85</v>
      </c>
      <c r="D11" s="126">
        <v>150</v>
      </c>
      <c r="E11" s="126">
        <v>4500</v>
      </c>
      <c r="F11" s="126">
        <v>4500</v>
      </c>
      <c r="G11" s="126">
        <v>4500</v>
      </c>
      <c r="H11" s="117" t="s">
        <v>249</v>
      </c>
      <c r="I11" s="117" t="s">
        <v>99</v>
      </c>
    </row>
    <row r="12" spans="1:9" x14ac:dyDescent="0.35">
      <c r="A12" s="117" t="s">
        <v>55</v>
      </c>
      <c r="B12" s="117" t="s">
        <v>65</v>
      </c>
      <c r="C12" s="117" t="s">
        <v>85</v>
      </c>
      <c r="D12" s="126">
        <v>150</v>
      </c>
      <c r="E12" s="126">
        <v>4500</v>
      </c>
      <c r="F12" s="126">
        <v>4500</v>
      </c>
      <c r="G12" s="126">
        <v>4500</v>
      </c>
      <c r="H12" s="117" t="s">
        <v>147</v>
      </c>
      <c r="I12" s="117" t="s">
        <v>155</v>
      </c>
    </row>
    <row r="13" spans="1:9" x14ac:dyDescent="0.35">
      <c r="A13" s="117" t="s">
        <v>55</v>
      </c>
      <c r="B13" s="117" t="s">
        <v>65</v>
      </c>
      <c r="C13" s="117" t="s">
        <v>88</v>
      </c>
      <c r="D13" s="126">
        <v>200</v>
      </c>
      <c r="E13" s="126">
        <v>4000</v>
      </c>
      <c r="F13" s="126">
        <v>3500</v>
      </c>
      <c r="G13" s="126">
        <v>3750</v>
      </c>
      <c r="H13" s="117" t="s">
        <v>249</v>
      </c>
      <c r="I13" s="117" t="s">
        <v>99</v>
      </c>
    </row>
    <row r="14" spans="1:9" x14ac:dyDescent="0.35">
      <c r="A14" s="117" t="s">
        <v>55</v>
      </c>
      <c r="B14" s="117" t="s">
        <v>65</v>
      </c>
      <c r="C14" s="117" t="s">
        <v>88</v>
      </c>
      <c r="D14" s="126">
        <v>200</v>
      </c>
      <c r="E14" s="126">
        <v>4000</v>
      </c>
      <c r="F14" s="126">
        <v>3500</v>
      </c>
      <c r="G14" s="126">
        <v>3750</v>
      </c>
      <c r="H14" s="117" t="s">
        <v>147</v>
      </c>
      <c r="I14" s="117" t="s">
        <v>155</v>
      </c>
    </row>
    <row r="15" spans="1:9" x14ac:dyDescent="0.35">
      <c r="A15" s="117" t="s">
        <v>92</v>
      </c>
      <c r="B15" s="117" t="s">
        <v>65</v>
      </c>
      <c r="C15" s="117" t="s">
        <v>66</v>
      </c>
      <c r="D15" s="126">
        <v>100</v>
      </c>
      <c r="E15" s="126">
        <v>14000</v>
      </c>
      <c r="F15" s="126">
        <v>12000</v>
      </c>
      <c r="G15" s="126">
        <v>13100</v>
      </c>
      <c r="H15" s="117" t="s">
        <v>93</v>
      </c>
      <c r="I15" s="117" t="s">
        <v>94</v>
      </c>
    </row>
    <row r="16" spans="1:9" x14ac:dyDescent="0.35">
      <c r="A16" s="117" t="s">
        <v>95</v>
      </c>
      <c r="B16" s="117" t="s">
        <v>96</v>
      </c>
      <c r="C16" s="117" t="s">
        <v>82</v>
      </c>
      <c r="D16" s="126">
        <v>100</v>
      </c>
      <c r="E16" s="126">
        <v>12000</v>
      </c>
      <c r="F16" s="126">
        <v>12000</v>
      </c>
      <c r="G16" s="126">
        <v>12000</v>
      </c>
      <c r="H16" s="117" t="s">
        <v>101</v>
      </c>
      <c r="I16" s="117" t="s">
        <v>84</v>
      </c>
    </row>
    <row r="17" spans="1:9" x14ac:dyDescent="0.35">
      <c r="A17" s="117" t="s">
        <v>95</v>
      </c>
      <c r="B17" s="117" t="s">
        <v>96</v>
      </c>
      <c r="C17" s="117" t="s">
        <v>66</v>
      </c>
      <c r="D17" s="126">
        <v>80</v>
      </c>
      <c r="E17" s="126">
        <v>10000</v>
      </c>
      <c r="F17" s="126">
        <v>10000</v>
      </c>
      <c r="G17" s="126">
        <v>10000</v>
      </c>
      <c r="H17" s="117" t="s">
        <v>101</v>
      </c>
      <c r="I17" s="117" t="s">
        <v>84</v>
      </c>
    </row>
    <row r="18" spans="1:9" x14ac:dyDescent="0.35">
      <c r="A18" s="117" t="s">
        <v>95</v>
      </c>
      <c r="B18" s="117" t="s">
        <v>96</v>
      </c>
      <c r="C18" s="117" t="s">
        <v>57</v>
      </c>
      <c r="D18" s="126">
        <v>80</v>
      </c>
      <c r="E18" s="126">
        <v>8000</v>
      </c>
      <c r="F18" s="126">
        <v>8000</v>
      </c>
      <c r="G18" s="126">
        <v>8000</v>
      </c>
      <c r="H18" s="117" t="s">
        <v>101</v>
      </c>
      <c r="I18" s="117" t="s">
        <v>84</v>
      </c>
    </row>
    <row r="19" spans="1:9" x14ac:dyDescent="0.35">
      <c r="A19" s="117" t="s">
        <v>95</v>
      </c>
      <c r="B19" s="117" t="s">
        <v>103</v>
      </c>
      <c r="C19" s="117" t="s">
        <v>82</v>
      </c>
      <c r="D19" s="126">
        <v>100</v>
      </c>
      <c r="E19" s="126">
        <v>12000</v>
      </c>
      <c r="F19" s="126">
        <v>12000</v>
      </c>
      <c r="G19" s="126">
        <v>12000</v>
      </c>
      <c r="H19" s="117" t="s">
        <v>101</v>
      </c>
      <c r="I19" s="117" t="s">
        <v>84</v>
      </c>
    </row>
    <row r="20" spans="1:9" x14ac:dyDescent="0.35">
      <c r="A20" s="117" t="s">
        <v>95</v>
      </c>
      <c r="B20" s="117" t="s">
        <v>103</v>
      </c>
      <c r="C20" s="117" t="s">
        <v>66</v>
      </c>
      <c r="D20" s="126">
        <v>100</v>
      </c>
      <c r="E20" s="126">
        <v>10000</v>
      </c>
      <c r="F20" s="126">
        <v>10000</v>
      </c>
      <c r="G20" s="126">
        <v>10000</v>
      </c>
      <c r="H20" s="117" t="s">
        <v>101</v>
      </c>
      <c r="I20" s="117" t="s">
        <v>84</v>
      </c>
    </row>
    <row r="21" spans="1:9" x14ac:dyDescent="0.35">
      <c r="A21" s="117" t="s">
        <v>95</v>
      </c>
      <c r="B21" s="117" t="s">
        <v>103</v>
      </c>
      <c r="C21" s="117" t="s">
        <v>57</v>
      </c>
      <c r="D21" s="126">
        <v>50</v>
      </c>
      <c r="E21" s="126">
        <v>8000</v>
      </c>
      <c r="F21" s="126">
        <v>8000</v>
      </c>
      <c r="G21" s="126">
        <v>8000</v>
      </c>
      <c r="H21" s="117" t="s">
        <v>101</v>
      </c>
      <c r="I21" s="117" t="s">
        <v>84</v>
      </c>
    </row>
    <row r="22" spans="1:9" x14ac:dyDescent="0.35">
      <c r="A22" s="117" t="s">
        <v>95</v>
      </c>
      <c r="B22" s="117" t="s">
        <v>104</v>
      </c>
      <c r="C22" s="117" t="s">
        <v>66</v>
      </c>
      <c r="D22" s="126">
        <v>50</v>
      </c>
      <c r="E22" s="126">
        <v>10000</v>
      </c>
      <c r="F22" s="126">
        <v>10000</v>
      </c>
      <c r="G22" s="126">
        <v>10000</v>
      </c>
      <c r="H22" s="117" t="s">
        <v>101</v>
      </c>
      <c r="I22" s="117" t="s">
        <v>84</v>
      </c>
    </row>
    <row r="23" spans="1:9" x14ac:dyDescent="0.35">
      <c r="A23" s="117" t="s">
        <v>95</v>
      </c>
      <c r="B23" s="117" t="s">
        <v>104</v>
      </c>
      <c r="C23" s="117" t="s">
        <v>57</v>
      </c>
      <c r="D23" s="126">
        <v>100</v>
      </c>
      <c r="E23" s="126">
        <v>8000</v>
      </c>
      <c r="F23" s="126">
        <v>8000</v>
      </c>
      <c r="G23" s="126">
        <v>8000</v>
      </c>
      <c r="H23" s="117" t="s">
        <v>101</v>
      </c>
      <c r="I23" s="117" t="s">
        <v>84</v>
      </c>
    </row>
    <row r="24" spans="1:9" x14ac:dyDescent="0.35">
      <c r="A24" s="117" t="s">
        <v>95</v>
      </c>
      <c r="B24" s="117" t="s">
        <v>250</v>
      </c>
      <c r="C24" s="117" t="s">
        <v>82</v>
      </c>
      <c r="D24" s="126">
        <v>50</v>
      </c>
      <c r="E24" s="126">
        <v>12000</v>
      </c>
      <c r="F24" s="126">
        <v>12000</v>
      </c>
      <c r="G24" s="126">
        <v>12000</v>
      </c>
      <c r="H24" s="117" t="s">
        <v>101</v>
      </c>
      <c r="I24" s="117" t="s">
        <v>84</v>
      </c>
    </row>
    <row r="25" spans="1:9" x14ac:dyDescent="0.35">
      <c r="A25" s="117" t="s">
        <v>95</v>
      </c>
      <c r="B25" s="117" t="s">
        <v>250</v>
      </c>
      <c r="C25" s="117" t="s">
        <v>66</v>
      </c>
      <c r="D25" s="126">
        <v>50</v>
      </c>
      <c r="E25" s="126">
        <v>10000</v>
      </c>
      <c r="F25" s="126">
        <v>10000</v>
      </c>
      <c r="G25" s="126">
        <v>10000</v>
      </c>
      <c r="H25" s="117" t="s">
        <v>101</v>
      </c>
      <c r="I25" s="117" t="s">
        <v>84</v>
      </c>
    </row>
    <row r="26" spans="1:9" x14ac:dyDescent="0.35">
      <c r="A26" s="117" t="s">
        <v>105</v>
      </c>
      <c r="B26" s="117" t="s">
        <v>108</v>
      </c>
      <c r="C26" s="117" t="s">
        <v>66</v>
      </c>
      <c r="D26" s="126">
        <v>80</v>
      </c>
      <c r="E26" s="126">
        <v>8000</v>
      </c>
      <c r="F26" s="126">
        <v>8000</v>
      </c>
      <c r="G26" s="126">
        <v>8000</v>
      </c>
      <c r="H26" s="117" t="s">
        <v>101</v>
      </c>
      <c r="I26" s="117" t="s">
        <v>99</v>
      </c>
    </row>
    <row r="27" spans="1:9" x14ac:dyDescent="0.35">
      <c r="A27" s="117" t="s">
        <v>109</v>
      </c>
      <c r="B27" s="117" t="s">
        <v>110</v>
      </c>
      <c r="C27" s="117" t="s">
        <v>82</v>
      </c>
      <c r="D27" s="126">
        <v>160</v>
      </c>
      <c r="E27" s="126">
        <v>30000</v>
      </c>
      <c r="F27" s="126">
        <v>29000</v>
      </c>
      <c r="G27" s="126">
        <v>29500</v>
      </c>
      <c r="H27" s="117" t="s">
        <v>83</v>
      </c>
      <c r="I27" s="117" t="s">
        <v>59</v>
      </c>
    </row>
    <row r="28" spans="1:9" x14ac:dyDescent="0.35">
      <c r="A28" s="117" t="s">
        <v>109</v>
      </c>
      <c r="B28" s="117" t="s">
        <v>110</v>
      </c>
      <c r="C28" s="117" t="s">
        <v>66</v>
      </c>
      <c r="D28" s="126">
        <v>180</v>
      </c>
      <c r="E28" s="126">
        <v>27000</v>
      </c>
      <c r="F28" s="126">
        <v>26000</v>
      </c>
      <c r="G28" s="126">
        <v>26444</v>
      </c>
      <c r="H28" s="117" t="s">
        <v>83</v>
      </c>
      <c r="I28" s="117" t="s">
        <v>59</v>
      </c>
    </row>
    <row r="29" spans="1:9" x14ac:dyDescent="0.35">
      <c r="A29" s="117" t="s">
        <v>109</v>
      </c>
      <c r="B29" s="117" t="s">
        <v>110</v>
      </c>
      <c r="C29" s="117" t="s">
        <v>57</v>
      </c>
      <c r="D29" s="126">
        <v>50</v>
      </c>
      <c r="E29" s="126">
        <v>24000</v>
      </c>
      <c r="F29" s="126">
        <v>24000</v>
      </c>
      <c r="G29" s="126">
        <v>24000</v>
      </c>
      <c r="H29" s="117" t="s">
        <v>83</v>
      </c>
      <c r="I29" s="117" t="s">
        <v>59</v>
      </c>
    </row>
    <row r="30" spans="1:9" x14ac:dyDescent="0.35">
      <c r="A30" s="117" t="s">
        <v>112</v>
      </c>
      <c r="B30" s="117" t="s">
        <v>113</v>
      </c>
      <c r="C30" s="117" t="s">
        <v>66</v>
      </c>
      <c r="D30" s="126">
        <v>170</v>
      </c>
      <c r="E30" s="126">
        <v>13000</v>
      </c>
      <c r="F30" s="126">
        <v>11000</v>
      </c>
      <c r="G30" s="126">
        <v>12176</v>
      </c>
      <c r="H30" s="117" t="s">
        <v>212</v>
      </c>
      <c r="I30" s="117" t="s">
        <v>84</v>
      </c>
    </row>
    <row r="31" spans="1:9" x14ac:dyDescent="0.35">
      <c r="A31" s="117" t="s">
        <v>112</v>
      </c>
      <c r="B31" s="117" t="s">
        <v>229</v>
      </c>
      <c r="C31" s="117" t="s">
        <v>66</v>
      </c>
      <c r="D31" s="126">
        <v>130</v>
      </c>
      <c r="E31" s="126">
        <v>13000</v>
      </c>
      <c r="F31" s="126">
        <v>12000</v>
      </c>
      <c r="G31" s="126">
        <v>12385</v>
      </c>
      <c r="H31" s="117" t="s">
        <v>212</v>
      </c>
      <c r="I31" s="117" t="s">
        <v>99</v>
      </c>
    </row>
    <row r="32" spans="1:9" x14ac:dyDescent="0.35">
      <c r="A32" s="117" t="s">
        <v>114</v>
      </c>
      <c r="B32" s="117" t="s">
        <v>115</v>
      </c>
      <c r="C32" s="117" t="s">
        <v>57</v>
      </c>
      <c r="D32" s="126">
        <v>100</v>
      </c>
      <c r="E32" s="126">
        <v>26000</v>
      </c>
      <c r="F32" s="126">
        <v>26000</v>
      </c>
      <c r="G32" s="126">
        <v>26000</v>
      </c>
      <c r="H32" s="117" t="s">
        <v>232</v>
      </c>
      <c r="I32" s="117" t="s">
        <v>117</v>
      </c>
    </row>
    <row r="33" spans="1:9" ht="15" thickBot="1" x14ac:dyDescent="0.4">
      <c r="A33" s="123" t="s">
        <v>119</v>
      </c>
      <c r="B33" s="123" t="s">
        <v>65</v>
      </c>
      <c r="C33" s="123" t="s">
        <v>122</v>
      </c>
      <c r="D33" s="127">
        <v>200</v>
      </c>
      <c r="E33" s="127">
        <v>19000</v>
      </c>
      <c r="F33" s="127">
        <v>18000</v>
      </c>
      <c r="G33" s="127">
        <v>18500</v>
      </c>
      <c r="H33" s="123" t="s">
        <v>121</v>
      </c>
      <c r="I33" s="123" t="s">
        <v>117</v>
      </c>
    </row>
    <row r="34" spans="1:9" x14ac:dyDescent="0.35">
      <c r="A34" s="128" t="s">
        <v>310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3" width="21.54296875" style="27" customWidth="1"/>
    <col min="4" max="4" width="21.54296875" style="135" customWidth="1"/>
    <col min="5" max="7" width="14.36328125" style="135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45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ht="15" thickBot="1" x14ac:dyDescent="0.4">
      <c r="A10" s="133" t="s">
        <v>55</v>
      </c>
      <c r="B10" s="133" t="s">
        <v>56</v>
      </c>
      <c r="C10" s="133" t="s">
        <v>57</v>
      </c>
      <c r="D10" s="134">
        <v>450</v>
      </c>
      <c r="E10" s="134">
        <v>30000</v>
      </c>
      <c r="F10" s="134">
        <v>28000</v>
      </c>
      <c r="G10" s="134">
        <v>28889</v>
      </c>
      <c r="H10" s="133" t="s">
        <v>58</v>
      </c>
      <c r="I10" s="133" t="s">
        <v>59</v>
      </c>
    </row>
    <row r="11" spans="1:9" x14ac:dyDescent="0.35">
      <c r="A11" s="128" t="s">
        <v>310</v>
      </c>
      <c r="B11" s="77"/>
      <c r="C11" s="77"/>
      <c r="D11" s="78"/>
      <c r="E11" s="78"/>
      <c r="F11" s="78"/>
      <c r="G11" s="78"/>
      <c r="H11" s="77"/>
      <c r="I1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7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v>46226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45">
      <c r="A7" s="87" t="s">
        <v>51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127</v>
      </c>
      <c r="B10" s="122" t="s">
        <v>65</v>
      </c>
      <c r="C10" s="122" t="s">
        <v>66</v>
      </c>
      <c r="D10" s="125">
        <v>220</v>
      </c>
      <c r="E10" s="125">
        <v>36000</v>
      </c>
      <c r="F10" s="125">
        <v>36000</v>
      </c>
      <c r="G10" s="125">
        <v>36000</v>
      </c>
      <c r="H10" s="122" t="s">
        <v>235</v>
      </c>
      <c r="I10" s="122" t="s">
        <v>143</v>
      </c>
    </row>
    <row r="11" spans="1:9" s="27" customFormat="1" ht="14.5" x14ac:dyDescent="0.35">
      <c r="A11" s="117" t="s">
        <v>127</v>
      </c>
      <c r="B11" s="117" t="s">
        <v>65</v>
      </c>
      <c r="C11" s="118" t="s">
        <v>57</v>
      </c>
      <c r="D11" s="126">
        <v>150</v>
      </c>
      <c r="E11" s="130">
        <v>20000</v>
      </c>
      <c r="F11" s="130">
        <v>20000</v>
      </c>
      <c r="G11" s="130">
        <v>20000</v>
      </c>
      <c r="H11" s="117" t="s">
        <v>235</v>
      </c>
      <c r="I11" s="117" t="s">
        <v>143</v>
      </c>
    </row>
    <row r="12" spans="1:9" s="27" customFormat="1" ht="14.5" x14ac:dyDescent="0.35">
      <c r="A12" s="117" t="s">
        <v>127</v>
      </c>
      <c r="B12" s="117" t="s">
        <v>65</v>
      </c>
      <c r="C12" s="118" t="s">
        <v>68</v>
      </c>
      <c r="D12" s="126">
        <v>100</v>
      </c>
      <c r="E12" s="130">
        <v>10000</v>
      </c>
      <c r="F12" s="130">
        <v>10000</v>
      </c>
      <c r="G12" s="130">
        <v>10000</v>
      </c>
      <c r="H12" s="117" t="s">
        <v>235</v>
      </c>
      <c r="I12" s="117" t="s">
        <v>143</v>
      </c>
    </row>
    <row r="13" spans="1:9" s="27" customFormat="1" ht="14.5" x14ac:dyDescent="0.35">
      <c r="A13" s="117" t="s">
        <v>129</v>
      </c>
      <c r="B13" s="117" t="s">
        <v>130</v>
      </c>
      <c r="C13" s="118" t="s">
        <v>66</v>
      </c>
      <c r="D13" s="126">
        <v>1100</v>
      </c>
      <c r="E13" s="130">
        <v>14000</v>
      </c>
      <c r="F13" s="130">
        <v>14000</v>
      </c>
      <c r="G13" s="130">
        <v>14000</v>
      </c>
      <c r="H13" s="117" t="s">
        <v>77</v>
      </c>
      <c r="I13" s="117" t="s">
        <v>131</v>
      </c>
    </row>
    <row r="14" spans="1:9" s="27" customFormat="1" ht="14.5" x14ac:dyDescent="0.35">
      <c r="A14" s="117" t="s">
        <v>129</v>
      </c>
      <c r="B14" s="117" t="s">
        <v>130</v>
      </c>
      <c r="C14" s="118" t="s">
        <v>66</v>
      </c>
      <c r="D14" s="126">
        <v>1500</v>
      </c>
      <c r="E14" s="130">
        <v>13500</v>
      </c>
      <c r="F14" s="130">
        <v>13500</v>
      </c>
      <c r="G14" s="130">
        <v>13500</v>
      </c>
      <c r="H14" s="117" t="s">
        <v>107</v>
      </c>
      <c r="I14" s="117" t="s">
        <v>131</v>
      </c>
    </row>
    <row r="15" spans="1:9" s="27" customFormat="1" ht="14.5" x14ac:dyDescent="0.35">
      <c r="A15" s="117" t="s">
        <v>132</v>
      </c>
      <c r="B15" s="117" t="s">
        <v>133</v>
      </c>
      <c r="C15" s="118" t="s">
        <v>66</v>
      </c>
      <c r="D15" s="126">
        <v>320</v>
      </c>
      <c r="E15" s="130">
        <v>18000</v>
      </c>
      <c r="F15" s="130">
        <v>16000</v>
      </c>
      <c r="G15" s="130">
        <v>17250</v>
      </c>
      <c r="H15" s="117" t="s">
        <v>134</v>
      </c>
      <c r="I15" s="117" t="s">
        <v>135</v>
      </c>
    </row>
    <row r="16" spans="1:9" s="27" customFormat="1" ht="14.5" x14ac:dyDescent="0.35">
      <c r="A16" s="117" t="s">
        <v>132</v>
      </c>
      <c r="B16" s="117" t="s">
        <v>133</v>
      </c>
      <c r="C16" s="118" t="s">
        <v>57</v>
      </c>
      <c r="D16" s="126">
        <v>220</v>
      </c>
      <c r="E16" s="130">
        <v>14000</v>
      </c>
      <c r="F16" s="130">
        <v>12000</v>
      </c>
      <c r="G16" s="130">
        <v>13091</v>
      </c>
      <c r="H16" s="117" t="s">
        <v>136</v>
      </c>
      <c r="I16" s="117" t="s">
        <v>135</v>
      </c>
    </row>
    <row r="17" spans="1:9" s="27" customFormat="1" ht="14.5" x14ac:dyDescent="0.35">
      <c r="A17" s="117" t="s">
        <v>137</v>
      </c>
      <c r="B17" s="117" t="s">
        <v>138</v>
      </c>
      <c r="C17" s="118" t="s">
        <v>66</v>
      </c>
      <c r="D17" s="126">
        <v>600</v>
      </c>
      <c r="E17" s="130">
        <v>13000</v>
      </c>
      <c r="F17" s="130">
        <v>12000</v>
      </c>
      <c r="G17" s="130">
        <v>12500</v>
      </c>
      <c r="H17" s="117" t="s">
        <v>139</v>
      </c>
      <c r="I17" s="117" t="s">
        <v>196</v>
      </c>
    </row>
    <row r="18" spans="1:9" s="27" customFormat="1" ht="14.5" x14ac:dyDescent="0.35">
      <c r="A18" s="117" t="s">
        <v>137</v>
      </c>
      <c r="B18" s="117" t="s">
        <v>138</v>
      </c>
      <c r="C18" s="118" t="s">
        <v>57</v>
      </c>
      <c r="D18" s="126">
        <v>200</v>
      </c>
      <c r="E18" s="130">
        <v>10000</v>
      </c>
      <c r="F18" s="130">
        <v>10000</v>
      </c>
      <c r="G18" s="130">
        <v>10000</v>
      </c>
      <c r="H18" s="117" t="s">
        <v>139</v>
      </c>
      <c r="I18" s="117" t="s">
        <v>196</v>
      </c>
    </row>
    <row r="19" spans="1:9" s="27" customFormat="1" ht="14.5" x14ac:dyDescent="0.35">
      <c r="A19" s="117" t="s">
        <v>141</v>
      </c>
      <c r="B19" s="117" t="s">
        <v>65</v>
      </c>
      <c r="C19" s="118" t="s">
        <v>66</v>
      </c>
      <c r="D19" s="126">
        <v>22000</v>
      </c>
      <c r="E19" s="130">
        <v>130</v>
      </c>
      <c r="F19" s="130">
        <v>130</v>
      </c>
      <c r="G19" s="130">
        <v>130</v>
      </c>
      <c r="H19" s="117" t="s">
        <v>67</v>
      </c>
      <c r="I19" s="117" t="s">
        <v>143</v>
      </c>
    </row>
    <row r="20" spans="1:9" s="27" customFormat="1" ht="14.5" x14ac:dyDescent="0.35">
      <c r="A20" s="117" t="s">
        <v>141</v>
      </c>
      <c r="B20" s="117" t="s">
        <v>65</v>
      </c>
      <c r="C20" s="118" t="s">
        <v>57</v>
      </c>
      <c r="D20" s="126">
        <v>10000</v>
      </c>
      <c r="E20" s="130">
        <v>100</v>
      </c>
      <c r="F20" s="130">
        <v>100</v>
      </c>
      <c r="G20" s="130">
        <v>100</v>
      </c>
      <c r="H20" s="117" t="s">
        <v>67</v>
      </c>
      <c r="I20" s="117" t="s">
        <v>143</v>
      </c>
    </row>
    <row r="21" spans="1:9" s="27" customFormat="1" ht="14.5" x14ac:dyDescent="0.35">
      <c r="A21" s="117" t="s">
        <v>236</v>
      </c>
      <c r="B21" s="117" t="s">
        <v>65</v>
      </c>
      <c r="C21" s="118" t="s">
        <v>66</v>
      </c>
      <c r="D21" s="126">
        <v>220</v>
      </c>
      <c r="E21" s="130">
        <v>20000</v>
      </c>
      <c r="F21" s="130">
        <v>18000</v>
      </c>
      <c r="G21" s="130">
        <v>19091</v>
      </c>
      <c r="H21" s="117" t="s">
        <v>198</v>
      </c>
      <c r="I21" s="117" t="s">
        <v>87</v>
      </c>
    </row>
    <row r="22" spans="1:9" s="27" customFormat="1" ht="14.5" x14ac:dyDescent="0.35">
      <c r="A22" s="117" t="s">
        <v>64</v>
      </c>
      <c r="B22" s="117" t="s">
        <v>65</v>
      </c>
      <c r="C22" s="118" t="s">
        <v>66</v>
      </c>
      <c r="D22" s="126">
        <v>12700</v>
      </c>
      <c r="E22" s="130">
        <v>800</v>
      </c>
      <c r="F22" s="130">
        <v>700</v>
      </c>
      <c r="G22" s="130">
        <v>746</v>
      </c>
      <c r="H22" s="117" t="s">
        <v>67</v>
      </c>
      <c r="I22" s="117" t="s">
        <v>143</v>
      </c>
    </row>
    <row r="23" spans="1:9" s="27" customFormat="1" ht="14.5" x14ac:dyDescent="0.35">
      <c r="A23" s="117" t="s">
        <v>64</v>
      </c>
      <c r="B23" s="117" t="s">
        <v>65</v>
      </c>
      <c r="C23" s="118" t="s">
        <v>57</v>
      </c>
      <c r="D23" s="126">
        <v>4400</v>
      </c>
      <c r="E23" s="130">
        <v>500</v>
      </c>
      <c r="F23" s="130">
        <v>500</v>
      </c>
      <c r="G23" s="130">
        <v>500</v>
      </c>
      <c r="H23" s="117" t="s">
        <v>67</v>
      </c>
      <c r="I23" s="117" t="s">
        <v>143</v>
      </c>
    </row>
    <row r="24" spans="1:9" s="27" customFormat="1" ht="14.5" x14ac:dyDescent="0.35">
      <c r="A24" s="117" t="s">
        <v>144</v>
      </c>
      <c r="B24" s="117" t="s">
        <v>145</v>
      </c>
      <c r="C24" s="118" t="s">
        <v>146</v>
      </c>
      <c r="D24" s="126">
        <v>500</v>
      </c>
      <c r="E24" s="130">
        <v>14500</v>
      </c>
      <c r="F24" s="130">
        <v>14500</v>
      </c>
      <c r="G24" s="130">
        <v>14500</v>
      </c>
      <c r="H24" s="117" t="s">
        <v>198</v>
      </c>
      <c r="I24" s="117" t="s">
        <v>99</v>
      </c>
    </row>
    <row r="25" spans="1:9" s="27" customFormat="1" ht="14.5" x14ac:dyDescent="0.35">
      <c r="A25" s="117" t="s">
        <v>144</v>
      </c>
      <c r="B25" s="117" t="s">
        <v>145</v>
      </c>
      <c r="C25" s="118" t="s">
        <v>146</v>
      </c>
      <c r="D25" s="126">
        <v>600</v>
      </c>
      <c r="E25" s="130">
        <v>15000</v>
      </c>
      <c r="F25" s="130">
        <v>15000</v>
      </c>
      <c r="G25" s="130">
        <v>15000</v>
      </c>
      <c r="H25" s="117" t="s">
        <v>198</v>
      </c>
      <c r="I25" s="117" t="s">
        <v>167</v>
      </c>
    </row>
    <row r="26" spans="1:9" s="27" customFormat="1" ht="14.5" x14ac:dyDescent="0.35">
      <c r="A26" s="117" t="s">
        <v>144</v>
      </c>
      <c r="B26" s="117" t="s">
        <v>145</v>
      </c>
      <c r="C26" s="118" t="s">
        <v>184</v>
      </c>
      <c r="D26" s="126">
        <v>300</v>
      </c>
      <c r="E26" s="130">
        <v>14500</v>
      </c>
      <c r="F26" s="130">
        <v>14500</v>
      </c>
      <c r="G26" s="130">
        <v>14500</v>
      </c>
      <c r="H26" s="117" t="s">
        <v>198</v>
      </c>
      <c r="I26" s="117" t="s">
        <v>99</v>
      </c>
    </row>
    <row r="27" spans="1:9" s="27" customFormat="1" ht="14.5" x14ac:dyDescent="0.35">
      <c r="A27" s="117" t="s">
        <v>144</v>
      </c>
      <c r="B27" s="117" t="s">
        <v>145</v>
      </c>
      <c r="C27" s="118" t="s">
        <v>184</v>
      </c>
      <c r="D27" s="126">
        <v>400</v>
      </c>
      <c r="E27" s="130">
        <v>15000</v>
      </c>
      <c r="F27" s="130">
        <v>15000</v>
      </c>
      <c r="G27" s="130">
        <v>15000</v>
      </c>
      <c r="H27" s="117" t="s">
        <v>198</v>
      </c>
      <c r="I27" s="117" t="s">
        <v>167</v>
      </c>
    </row>
    <row r="28" spans="1:9" s="27" customFormat="1" ht="14.5" x14ac:dyDescent="0.35">
      <c r="A28" s="117" t="s">
        <v>144</v>
      </c>
      <c r="B28" s="117" t="s">
        <v>65</v>
      </c>
      <c r="C28" s="118" t="s">
        <v>146</v>
      </c>
      <c r="D28" s="126">
        <v>2100</v>
      </c>
      <c r="E28" s="130">
        <v>13000</v>
      </c>
      <c r="F28" s="130">
        <v>13000</v>
      </c>
      <c r="G28" s="130">
        <v>13000</v>
      </c>
      <c r="H28" s="117" t="s">
        <v>121</v>
      </c>
      <c r="I28" s="117" t="s">
        <v>143</v>
      </c>
    </row>
    <row r="29" spans="1:9" s="27" customFormat="1" ht="14.5" x14ac:dyDescent="0.35">
      <c r="A29" s="117" t="s">
        <v>144</v>
      </c>
      <c r="B29" s="117" t="s">
        <v>65</v>
      </c>
      <c r="C29" s="118" t="s">
        <v>146</v>
      </c>
      <c r="D29" s="126">
        <v>2800</v>
      </c>
      <c r="E29" s="130">
        <v>9000</v>
      </c>
      <c r="F29" s="130">
        <v>9000</v>
      </c>
      <c r="G29" s="130">
        <v>9000</v>
      </c>
      <c r="H29" s="117" t="s">
        <v>198</v>
      </c>
      <c r="I29" s="117" t="s">
        <v>143</v>
      </c>
    </row>
    <row r="30" spans="1:9" s="27" customFormat="1" ht="14.5" x14ac:dyDescent="0.35">
      <c r="A30" s="117" t="s">
        <v>144</v>
      </c>
      <c r="B30" s="117" t="s">
        <v>65</v>
      </c>
      <c r="C30" s="118" t="s">
        <v>146</v>
      </c>
      <c r="D30" s="126">
        <v>3100</v>
      </c>
      <c r="E30" s="130">
        <v>9000</v>
      </c>
      <c r="F30" s="130">
        <v>9000</v>
      </c>
      <c r="G30" s="130">
        <v>9000</v>
      </c>
      <c r="H30" s="117" t="s">
        <v>198</v>
      </c>
      <c r="I30" s="117" t="s">
        <v>99</v>
      </c>
    </row>
    <row r="31" spans="1:9" s="27" customFormat="1" ht="14.5" x14ac:dyDescent="0.35">
      <c r="A31" s="117" t="s">
        <v>144</v>
      </c>
      <c r="B31" s="117" t="s">
        <v>65</v>
      </c>
      <c r="C31" s="118" t="s">
        <v>146</v>
      </c>
      <c r="D31" s="126">
        <v>2300</v>
      </c>
      <c r="E31" s="130">
        <v>14000</v>
      </c>
      <c r="F31" s="130">
        <v>14000</v>
      </c>
      <c r="G31" s="130">
        <v>14000</v>
      </c>
      <c r="H31" s="117" t="s">
        <v>162</v>
      </c>
      <c r="I31" s="117" t="s">
        <v>99</v>
      </c>
    </row>
    <row r="32" spans="1:9" s="27" customFormat="1" ht="14.5" x14ac:dyDescent="0.35">
      <c r="A32" s="117" t="s">
        <v>144</v>
      </c>
      <c r="B32" s="117" t="s">
        <v>65</v>
      </c>
      <c r="C32" s="118" t="s">
        <v>184</v>
      </c>
      <c r="D32" s="126">
        <v>1500</v>
      </c>
      <c r="E32" s="130">
        <v>12500</v>
      </c>
      <c r="F32" s="130">
        <v>12500</v>
      </c>
      <c r="G32" s="130">
        <v>12500</v>
      </c>
      <c r="H32" s="117" t="s">
        <v>121</v>
      </c>
      <c r="I32" s="117" t="s">
        <v>143</v>
      </c>
    </row>
    <row r="33" spans="1:9" s="27" customFormat="1" ht="14.5" x14ac:dyDescent="0.35">
      <c r="A33" s="117" t="s">
        <v>144</v>
      </c>
      <c r="B33" s="117" t="s">
        <v>65</v>
      </c>
      <c r="C33" s="118" t="s">
        <v>184</v>
      </c>
      <c r="D33" s="126">
        <v>1700</v>
      </c>
      <c r="E33" s="130">
        <v>8500</v>
      </c>
      <c r="F33" s="130">
        <v>8500</v>
      </c>
      <c r="G33" s="130">
        <v>8500</v>
      </c>
      <c r="H33" s="117" t="s">
        <v>198</v>
      </c>
      <c r="I33" s="117" t="s">
        <v>143</v>
      </c>
    </row>
    <row r="34" spans="1:9" s="27" customFormat="1" ht="14.5" x14ac:dyDescent="0.35">
      <c r="A34" s="117" t="s">
        <v>144</v>
      </c>
      <c r="B34" s="117" t="s">
        <v>65</v>
      </c>
      <c r="C34" s="118" t="s">
        <v>184</v>
      </c>
      <c r="D34" s="126">
        <v>2400</v>
      </c>
      <c r="E34" s="130">
        <v>8500</v>
      </c>
      <c r="F34" s="130">
        <v>8500</v>
      </c>
      <c r="G34" s="130">
        <v>8500</v>
      </c>
      <c r="H34" s="117" t="s">
        <v>198</v>
      </c>
      <c r="I34" s="117" t="s">
        <v>99</v>
      </c>
    </row>
    <row r="35" spans="1:9" s="27" customFormat="1" ht="14.5" x14ac:dyDescent="0.35">
      <c r="A35" s="117" t="s">
        <v>144</v>
      </c>
      <c r="B35" s="117" t="s">
        <v>65</v>
      </c>
      <c r="C35" s="118" t="s">
        <v>184</v>
      </c>
      <c r="D35" s="126">
        <v>1200</v>
      </c>
      <c r="E35" s="130">
        <v>14000</v>
      </c>
      <c r="F35" s="130">
        <v>14000</v>
      </c>
      <c r="G35" s="130">
        <v>14000</v>
      </c>
      <c r="H35" s="117" t="s">
        <v>162</v>
      </c>
      <c r="I35" s="117" t="s">
        <v>99</v>
      </c>
    </row>
    <row r="36" spans="1:9" s="27" customFormat="1" ht="14.5" x14ac:dyDescent="0.35">
      <c r="A36" s="117" t="s">
        <v>144</v>
      </c>
      <c r="B36" s="117" t="s">
        <v>65</v>
      </c>
      <c r="C36" s="118" t="s">
        <v>237</v>
      </c>
      <c r="D36" s="126">
        <v>600</v>
      </c>
      <c r="E36" s="130">
        <v>12000</v>
      </c>
      <c r="F36" s="130">
        <v>12000</v>
      </c>
      <c r="G36" s="130">
        <v>12000</v>
      </c>
      <c r="H36" s="117" t="s">
        <v>121</v>
      </c>
      <c r="I36" s="117" t="s">
        <v>143</v>
      </c>
    </row>
    <row r="37" spans="1:9" s="27" customFormat="1" ht="14.5" x14ac:dyDescent="0.35">
      <c r="A37" s="117" t="s">
        <v>144</v>
      </c>
      <c r="B37" s="117" t="s">
        <v>65</v>
      </c>
      <c r="C37" s="118" t="s">
        <v>237</v>
      </c>
      <c r="D37" s="126">
        <v>400</v>
      </c>
      <c r="E37" s="130">
        <v>7000</v>
      </c>
      <c r="F37" s="130">
        <v>7000</v>
      </c>
      <c r="G37" s="130">
        <v>7000</v>
      </c>
      <c r="H37" s="117" t="s">
        <v>198</v>
      </c>
      <c r="I37" s="117" t="s">
        <v>143</v>
      </c>
    </row>
    <row r="38" spans="1:9" s="27" customFormat="1" ht="14.5" x14ac:dyDescent="0.35">
      <c r="A38" s="117" t="s">
        <v>144</v>
      </c>
      <c r="B38" s="117" t="s">
        <v>65</v>
      </c>
      <c r="C38" s="118" t="s">
        <v>237</v>
      </c>
      <c r="D38" s="126">
        <v>500</v>
      </c>
      <c r="E38" s="130">
        <v>7000</v>
      </c>
      <c r="F38" s="130">
        <v>7000</v>
      </c>
      <c r="G38" s="130">
        <v>7000</v>
      </c>
      <c r="H38" s="117" t="s">
        <v>198</v>
      </c>
      <c r="I38" s="117" t="s">
        <v>99</v>
      </c>
    </row>
    <row r="39" spans="1:9" s="27" customFormat="1" ht="14.5" x14ac:dyDescent="0.35">
      <c r="A39" s="117" t="s">
        <v>144</v>
      </c>
      <c r="B39" s="117" t="s">
        <v>65</v>
      </c>
      <c r="C39" s="118" t="s">
        <v>237</v>
      </c>
      <c r="D39" s="126">
        <v>600</v>
      </c>
      <c r="E39" s="130">
        <v>13000</v>
      </c>
      <c r="F39" s="130">
        <v>13000</v>
      </c>
      <c r="G39" s="130">
        <v>13000</v>
      </c>
      <c r="H39" s="117" t="s">
        <v>162</v>
      </c>
      <c r="I39" s="117" t="s">
        <v>99</v>
      </c>
    </row>
    <row r="40" spans="1:9" s="27" customFormat="1" ht="14.5" x14ac:dyDescent="0.35">
      <c r="A40" s="117" t="s">
        <v>150</v>
      </c>
      <c r="B40" s="117" t="s">
        <v>65</v>
      </c>
      <c r="C40" s="118" t="s">
        <v>66</v>
      </c>
      <c r="D40" s="126">
        <v>400</v>
      </c>
      <c r="E40" s="130">
        <v>8000</v>
      </c>
      <c r="F40" s="130">
        <v>8000</v>
      </c>
      <c r="G40" s="130">
        <v>8000</v>
      </c>
      <c r="H40" s="117" t="s">
        <v>151</v>
      </c>
      <c r="I40" s="117" t="s">
        <v>143</v>
      </c>
    </row>
    <row r="41" spans="1:9" s="27" customFormat="1" ht="14.5" x14ac:dyDescent="0.35">
      <c r="A41" s="117" t="s">
        <v>150</v>
      </c>
      <c r="B41" s="117" t="s">
        <v>65</v>
      </c>
      <c r="C41" s="118" t="s">
        <v>57</v>
      </c>
      <c r="D41" s="126">
        <v>1900</v>
      </c>
      <c r="E41" s="130">
        <v>6500</v>
      </c>
      <c r="F41" s="130">
        <v>6000</v>
      </c>
      <c r="G41" s="130">
        <v>6289</v>
      </c>
      <c r="H41" s="117" t="s">
        <v>151</v>
      </c>
      <c r="I41" s="117" t="s">
        <v>143</v>
      </c>
    </row>
    <row r="42" spans="1:9" s="27" customFormat="1" ht="14.5" x14ac:dyDescent="0.35">
      <c r="A42" s="117" t="s">
        <v>150</v>
      </c>
      <c r="B42" s="117" t="s">
        <v>65</v>
      </c>
      <c r="C42" s="118" t="s">
        <v>68</v>
      </c>
      <c r="D42" s="126">
        <v>500</v>
      </c>
      <c r="E42" s="130">
        <v>4500</v>
      </c>
      <c r="F42" s="130">
        <v>4500</v>
      </c>
      <c r="G42" s="130">
        <v>4500</v>
      </c>
      <c r="H42" s="117" t="s">
        <v>151</v>
      </c>
      <c r="I42" s="117" t="s">
        <v>143</v>
      </c>
    </row>
    <row r="43" spans="1:9" s="27" customFormat="1" ht="14.5" x14ac:dyDescent="0.35">
      <c r="A43" s="117" t="s">
        <v>238</v>
      </c>
      <c r="B43" s="117" t="s">
        <v>65</v>
      </c>
      <c r="C43" s="118" t="s">
        <v>66</v>
      </c>
      <c r="D43" s="126">
        <v>330</v>
      </c>
      <c r="E43" s="130">
        <v>2500</v>
      </c>
      <c r="F43" s="130">
        <v>2500</v>
      </c>
      <c r="G43" s="130">
        <v>2500</v>
      </c>
      <c r="H43" s="117" t="s">
        <v>235</v>
      </c>
      <c r="I43" s="117" t="s">
        <v>143</v>
      </c>
    </row>
    <row r="44" spans="1:9" s="27" customFormat="1" ht="14.5" x14ac:dyDescent="0.35">
      <c r="A44" s="117" t="s">
        <v>238</v>
      </c>
      <c r="B44" s="117" t="s">
        <v>65</v>
      </c>
      <c r="C44" s="118" t="s">
        <v>57</v>
      </c>
      <c r="D44" s="126">
        <v>200</v>
      </c>
      <c r="E44" s="130">
        <v>1800</v>
      </c>
      <c r="F44" s="130">
        <v>1800</v>
      </c>
      <c r="G44" s="130">
        <v>1800</v>
      </c>
      <c r="H44" s="117" t="s">
        <v>235</v>
      </c>
      <c r="I44" s="117" t="s">
        <v>143</v>
      </c>
    </row>
    <row r="45" spans="1:9" s="27" customFormat="1" ht="14.5" x14ac:dyDescent="0.35">
      <c r="A45" s="117" t="s">
        <v>152</v>
      </c>
      <c r="B45" s="117" t="s">
        <v>65</v>
      </c>
      <c r="C45" s="118" t="s">
        <v>66</v>
      </c>
      <c r="D45" s="126">
        <v>350</v>
      </c>
      <c r="E45" s="130">
        <v>18000</v>
      </c>
      <c r="F45" s="130">
        <v>18000</v>
      </c>
      <c r="G45" s="130">
        <v>18000</v>
      </c>
      <c r="H45" s="117" t="s">
        <v>199</v>
      </c>
      <c r="I45" s="117" t="s">
        <v>143</v>
      </c>
    </row>
    <row r="46" spans="1:9" s="27" customFormat="1" ht="14.5" x14ac:dyDescent="0.35">
      <c r="A46" s="117" t="s">
        <v>152</v>
      </c>
      <c r="B46" s="117" t="s">
        <v>65</v>
      </c>
      <c r="C46" s="118" t="s">
        <v>66</v>
      </c>
      <c r="D46" s="126">
        <v>80</v>
      </c>
      <c r="E46" s="130">
        <v>40000</v>
      </c>
      <c r="F46" s="130">
        <v>40000</v>
      </c>
      <c r="G46" s="130">
        <v>40000</v>
      </c>
      <c r="H46" s="117" t="s">
        <v>235</v>
      </c>
      <c r="I46" s="117" t="s">
        <v>143</v>
      </c>
    </row>
    <row r="47" spans="1:9" s="27" customFormat="1" ht="14.5" x14ac:dyDescent="0.35">
      <c r="A47" s="117" t="s">
        <v>152</v>
      </c>
      <c r="B47" s="117" t="s">
        <v>65</v>
      </c>
      <c r="C47" s="118" t="s">
        <v>57</v>
      </c>
      <c r="D47" s="126">
        <v>200</v>
      </c>
      <c r="E47" s="130">
        <v>15000</v>
      </c>
      <c r="F47" s="130">
        <v>15000</v>
      </c>
      <c r="G47" s="130">
        <v>15000</v>
      </c>
      <c r="H47" s="117" t="s">
        <v>199</v>
      </c>
      <c r="I47" s="117" t="s">
        <v>143</v>
      </c>
    </row>
    <row r="48" spans="1:9" s="27" customFormat="1" ht="14.5" x14ac:dyDescent="0.35">
      <c r="A48" s="117" t="s">
        <v>154</v>
      </c>
      <c r="B48" s="117" t="s">
        <v>65</v>
      </c>
      <c r="C48" s="118" t="s">
        <v>66</v>
      </c>
      <c r="D48" s="126">
        <v>6500</v>
      </c>
      <c r="E48" s="130">
        <v>800</v>
      </c>
      <c r="F48" s="130">
        <v>700</v>
      </c>
      <c r="G48" s="130">
        <v>755</v>
      </c>
      <c r="H48" s="117" t="s">
        <v>67</v>
      </c>
      <c r="I48" s="117" t="s">
        <v>143</v>
      </c>
    </row>
    <row r="49" spans="1:9" s="27" customFormat="1" ht="14.5" x14ac:dyDescent="0.35">
      <c r="A49" s="117" t="s">
        <v>154</v>
      </c>
      <c r="B49" s="117" t="s">
        <v>65</v>
      </c>
      <c r="C49" s="118" t="s">
        <v>57</v>
      </c>
      <c r="D49" s="126">
        <v>4500</v>
      </c>
      <c r="E49" s="130">
        <v>500</v>
      </c>
      <c r="F49" s="130">
        <v>500</v>
      </c>
      <c r="G49" s="130">
        <v>500</v>
      </c>
      <c r="H49" s="117" t="s">
        <v>67</v>
      </c>
      <c r="I49" s="117" t="s">
        <v>143</v>
      </c>
    </row>
    <row r="50" spans="1:9" s="27" customFormat="1" ht="14.5" x14ac:dyDescent="0.35">
      <c r="A50" s="117" t="s">
        <v>154</v>
      </c>
      <c r="B50" s="117" t="s">
        <v>65</v>
      </c>
      <c r="C50" s="118" t="s">
        <v>68</v>
      </c>
      <c r="D50" s="126">
        <v>2000</v>
      </c>
      <c r="E50" s="130">
        <v>300</v>
      </c>
      <c r="F50" s="130">
        <v>300</v>
      </c>
      <c r="G50" s="130">
        <v>300</v>
      </c>
      <c r="H50" s="117" t="s">
        <v>67</v>
      </c>
      <c r="I50" s="117" t="s">
        <v>143</v>
      </c>
    </row>
    <row r="51" spans="1:9" s="27" customFormat="1" ht="14.5" x14ac:dyDescent="0.35">
      <c r="A51" s="117" t="s">
        <v>156</v>
      </c>
      <c r="B51" s="117" t="s">
        <v>65</v>
      </c>
      <c r="C51" s="118" t="s">
        <v>66</v>
      </c>
      <c r="D51" s="126">
        <v>420</v>
      </c>
      <c r="E51" s="130">
        <v>12000</v>
      </c>
      <c r="F51" s="130">
        <v>11000</v>
      </c>
      <c r="G51" s="130">
        <v>11595</v>
      </c>
      <c r="H51" s="117" t="s">
        <v>239</v>
      </c>
      <c r="I51" s="117" t="s">
        <v>143</v>
      </c>
    </row>
    <row r="52" spans="1:9" s="27" customFormat="1" ht="14.5" x14ac:dyDescent="0.35">
      <c r="A52" s="117" t="s">
        <v>69</v>
      </c>
      <c r="B52" s="117" t="s">
        <v>157</v>
      </c>
      <c r="C52" s="118" t="s">
        <v>66</v>
      </c>
      <c r="D52" s="126">
        <v>430</v>
      </c>
      <c r="E52" s="130">
        <v>10000</v>
      </c>
      <c r="F52" s="130">
        <v>9000</v>
      </c>
      <c r="G52" s="130">
        <v>9535</v>
      </c>
      <c r="H52" s="117" t="s">
        <v>158</v>
      </c>
      <c r="I52" s="117" t="s">
        <v>143</v>
      </c>
    </row>
    <row r="53" spans="1:9" s="27" customFormat="1" ht="14.5" x14ac:dyDescent="0.35">
      <c r="A53" s="117" t="s">
        <v>69</v>
      </c>
      <c r="B53" s="117" t="s">
        <v>157</v>
      </c>
      <c r="C53" s="118" t="s">
        <v>57</v>
      </c>
      <c r="D53" s="126">
        <v>250</v>
      </c>
      <c r="E53" s="130">
        <v>8000</v>
      </c>
      <c r="F53" s="130">
        <v>7000</v>
      </c>
      <c r="G53" s="130">
        <v>7600</v>
      </c>
      <c r="H53" s="117" t="s">
        <v>71</v>
      </c>
      <c r="I53" s="117" t="s">
        <v>143</v>
      </c>
    </row>
    <row r="54" spans="1:9" s="27" customFormat="1" ht="14.5" x14ac:dyDescent="0.35">
      <c r="A54" s="117" t="s">
        <v>69</v>
      </c>
      <c r="B54" s="117" t="s">
        <v>70</v>
      </c>
      <c r="C54" s="118" t="s">
        <v>66</v>
      </c>
      <c r="D54" s="126">
        <v>800</v>
      </c>
      <c r="E54" s="130">
        <v>13000</v>
      </c>
      <c r="F54" s="130">
        <v>12000</v>
      </c>
      <c r="G54" s="130">
        <v>12750</v>
      </c>
      <c r="H54" s="117" t="s">
        <v>159</v>
      </c>
      <c r="I54" s="117" t="s">
        <v>196</v>
      </c>
    </row>
    <row r="55" spans="1:9" s="27" customFormat="1" ht="14.5" x14ac:dyDescent="0.35">
      <c r="A55" s="117" t="s">
        <v>69</v>
      </c>
      <c r="B55" s="117" t="s">
        <v>70</v>
      </c>
      <c r="C55" s="118" t="s">
        <v>57</v>
      </c>
      <c r="D55" s="126">
        <v>1000</v>
      </c>
      <c r="E55" s="130">
        <v>10000</v>
      </c>
      <c r="F55" s="130">
        <v>8000</v>
      </c>
      <c r="G55" s="130">
        <v>9200</v>
      </c>
      <c r="H55" s="117" t="s">
        <v>72</v>
      </c>
      <c r="I55" s="117" t="s">
        <v>143</v>
      </c>
    </row>
    <row r="56" spans="1:9" s="27" customFormat="1" ht="14.5" x14ac:dyDescent="0.35">
      <c r="A56" s="117" t="s">
        <v>69</v>
      </c>
      <c r="B56" s="117" t="s">
        <v>133</v>
      </c>
      <c r="C56" s="118" t="s">
        <v>66</v>
      </c>
      <c r="D56" s="126">
        <v>320</v>
      </c>
      <c r="E56" s="130">
        <v>8000</v>
      </c>
      <c r="F56" s="130">
        <v>7000</v>
      </c>
      <c r="G56" s="130">
        <v>7375</v>
      </c>
      <c r="H56" s="117" t="s">
        <v>159</v>
      </c>
      <c r="I56" s="117" t="s">
        <v>143</v>
      </c>
    </row>
    <row r="57" spans="1:9" s="27" customFormat="1" ht="14.5" x14ac:dyDescent="0.35">
      <c r="A57" s="117" t="s">
        <v>69</v>
      </c>
      <c r="B57" s="117" t="s">
        <v>133</v>
      </c>
      <c r="C57" s="118" t="s">
        <v>57</v>
      </c>
      <c r="D57" s="126">
        <v>320</v>
      </c>
      <c r="E57" s="130">
        <v>7000</v>
      </c>
      <c r="F57" s="130">
        <v>6500</v>
      </c>
      <c r="G57" s="130">
        <v>6688</v>
      </c>
      <c r="H57" s="117" t="s">
        <v>72</v>
      </c>
      <c r="I57" s="117" t="s">
        <v>143</v>
      </c>
    </row>
    <row r="58" spans="1:9" s="27" customFormat="1" ht="14.5" x14ac:dyDescent="0.35">
      <c r="A58" s="117" t="s">
        <v>69</v>
      </c>
      <c r="B58" s="117" t="s">
        <v>216</v>
      </c>
      <c r="C58" s="118" t="s">
        <v>66</v>
      </c>
      <c r="D58" s="126">
        <v>500</v>
      </c>
      <c r="E58" s="130">
        <v>7000</v>
      </c>
      <c r="F58" s="130">
        <v>6500</v>
      </c>
      <c r="G58" s="130">
        <v>6740</v>
      </c>
      <c r="H58" s="117" t="s">
        <v>159</v>
      </c>
      <c r="I58" s="117" t="s">
        <v>143</v>
      </c>
    </row>
    <row r="59" spans="1:9" s="27" customFormat="1" ht="14.5" x14ac:dyDescent="0.35">
      <c r="A59" s="117" t="s">
        <v>69</v>
      </c>
      <c r="B59" s="117" t="s">
        <v>216</v>
      </c>
      <c r="C59" s="118" t="s">
        <v>57</v>
      </c>
      <c r="D59" s="126">
        <v>460</v>
      </c>
      <c r="E59" s="130">
        <v>6000</v>
      </c>
      <c r="F59" s="130">
        <v>5500</v>
      </c>
      <c r="G59" s="130">
        <v>5717</v>
      </c>
      <c r="H59" s="117" t="s">
        <v>72</v>
      </c>
      <c r="I59" s="117" t="s">
        <v>143</v>
      </c>
    </row>
    <row r="60" spans="1:9" s="27" customFormat="1" ht="14.5" x14ac:dyDescent="0.35">
      <c r="A60" s="117" t="s">
        <v>69</v>
      </c>
      <c r="B60" s="117" t="s">
        <v>240</v>
      </c>
      <c r="C60" s="118" t="s">
        <v>66</v>
      </c>
      <c r="D60" s="126">
        <v>460</v>
      </c>
      <c r="E60" s="130">
        <v>8000</v>
      </c>
      <c r="F60" s="130">
        <v>7000</v>
      </c>
      <c r="G60" s="130">
        <v>7565</v>
      </c>
      <c r="H60" s="117" t="s">
        <v>241</v>
      </c>
      <c r="I60" s="117" t="s">
        <v>143</v>
      </c>
    </row>
    <row r="61" spans="1:9" s="27" customFormat="1" ht="14.5" x14ac:dyDescent="0.35">
      <c r="A61" s="117" t="s">
        <v>242</v>
      </c>
      <c r="B61" s="117" t="s">
        <v>65</v>
      </c>
      <c r="C61" s="118" t="s">
        <v>66</v>
      </c>
      <c r="D61" s="126">
        <v>15</v>
      </c>
      <c r="E61" s="130">
        <v>40000</v>
      </c>
      <c r="F61" s="130">
        <v>40000</v>
      </c>
      <c r="G61" s="130">
        <v>40000</v>
      </c>
      <c r="H61" s="117" t="s">
        <v>235</v>
      </c>
      <c r="I61" s="117" t="s">
        <v>143</v>
      </c>
    </row>
    <row r="62" spans="1:9" s="27" customFormat="1" ht="14.5" x14ac:dyDescent="0.35">
      <c r="A62" s="117" t="s">
        <v>160</v>
      </c>
      <c r="B62" s="117" t="s">
        <v>161</v>
      </c>
      <c r="C62" s="118" t="s">
        <v>217</v>
      </c>
      <c r="D62" s="126">
        <v>1400</v>
      </c>
      <c r="E62" s="130">
        <v>18000</v>
      </c>
      <c r="F62" s="130">
        <v>18000</v>
      </c>
      <c r="G62" s="130">
        <v>18000</v>
      </c>
      <c r="H62" s="117" t="s">
        <v>175</v>
      </c>
      <c r="I62" s="117" t="s">
        <v>155</v>
      </c>
    </row>
    <row r="63" spans="1:9" s="27" customFormat="1" ht="14.5" x14ac:dyDescent="0.35">
      <c r="A63" s="117" t="s">
        <v>160</v>
      </c>
      <c r="B63" s="117" t="s">
        <v>161</v>
      </c>
      <c r="C63" s="118" t="s">
        <v>166</v>
      </c>
      <c r="D63" s="126">
        <v>2550</v>
      </c>
      <c r="E63" s="130">
        <v>17000</v>
      </c>
      <c r="F63" s="130">
        <v>16000</v>
      </c>
      <c r="G63" s="130">
        <v>16510</v>
      </c>
      <c r="H63" s="117" t="s">
        <v>162</v>
      </c>
      <c r="I63" s="117" t="s">
        <v>155</v>
      </c>
    </row>
    <row r="64" spans="1:9" s="27" customFormat="1" ht="14.5" x14ac:dyDescent="0.35">
      <c r="A64" s="117" t="s">
        <v>160</v>
      </c>
      <c r="B64" s="117" t="s">
        <v>200</v>
      </c>
      <c r="C64" s="118" t="s">
        <v>166</v>
      </c>
      <c r="D64" s="126">
        <v>3800</v>
      </c>
      <c r="E64" s="130">
        <v>15000</v>
      </c>
      <c r="F64" s="130">
        <v>15000</v>
      </c>
      <c r="G64" s="130">
        <v>15000</v>
      </c>
      <c r="H64" s="117" t="s">
        <v>162</v>
      </c>
      <c r="I64" s="117" t="s">
        <v>243</v>
      </c>
    </row>
    <row r="65" spans="1:9" s="27" customFormat="1" ht="14.5" x14ac:dyDescent="0.35">
      <c r="A65" s="117" t="s">
        <v>160</v>
      </c>
      <c r="B65" s="117" t="s">
        <v>165</v>
      </c>
      <c r="C65" s="118" t="s">
        <v>166</v>
      </c>
      <c r="D65" s="126">
        <v>2300</v>
      </c>
      <c r="E65" s="130">
        <v>15000</v>
      </c>
      <c r="F65" s="130">
        <v>15000</v>
      </c>
      <c r="G65" s="130">
        <v>15000</v>
      </c>
      <c r="H65" s="117" t="s">
        <v>162</v>
      </c>
      <c r="I65" s="117" t="s">
        <v>167</v>
      </c>
    </row>
    <row r="66" spans="1:9" s="27" customFormat="1" ht="14.5" x14ac:dyDescent="0.35">
      <c r="A66" s="117" t="s">
        <v>160</v>
      </c>
      <c r="B66" s="117" t="s">
        <v>244</v>
      </c>
      <c r="C66" s="118" t="s">
        <v>166</v>
      </c>
      <c r="D66" s="126">
        <v>3400</v>
      </c>
      <c r="E66" s="130">
        <v>16000</v>
      </c>
      <c r="F66" s="130">
        <v>15500</v>
      </c>
      <c r="G66" s="130">
        <v>15853</v>
      </c>
      <c r="H66" s="117" t="s">
        <v>162</v>
      </c>
      <c r="I66" s="117" t="s">
        <v>167</v>
      </c>
    </row>
    <row r="67" spans="1:9" s="27" customFormat="1" ht="14.5" x14ac:dyDescent="0.35">
      <c r="A67" s="117" t="s">
        <v>245</v>
      </c>
      <c r="B67" s="117" t="s">
        <v>65</v>
      </c>
      <c r="C67" s="118" t="s">
        <v>66</v>
      </c>
      <c r="D67" s="126">
        <v>230</v>
      </c>
      <c r="E67" s="130">
        <v>15000</v>
      </c>
      <c r="F67" s="130">
        <v>15000</v>
      </c>
      <c r="G67" s="130">
        <v>15000</v>
      </c>
      <c r="H67" s="117" t="s">
        <v>199</v>
      </c>
      <c r="I67" s="117" t="s">
        <v>143</v>
      </c>
    </row>
    <row r="68" spans="1:9" s="27" customFormat="1" ht="14.5" x14ac:dyDescent="0.35">
      <c r="A68" s="117" t="s">
        <v>245</v>
      </c>
      <c r="B68" s="117" t="s">
        <v>65</v>
      </c>
      <c r="C68" s="118" t="s">
        <v>66</v>
      </c>
      <c r="D68" s="126">
        <v>50</v>
      </c>
      <c r="E68" s="130">
        <v>28000</v>
      </c>
      <c r="F68" s="130">
        <v>28000</v>
      </c>
      <c r="G68" s="130">
        <v>28000</v>
      </c>
      <c r="H68" s="117" t="s">
        <v>235</v>
      </c>
      <c r="I68" s="117" t="s">
        <v>143</v>
      </c>
    </row>
    <row r="69" spans="1:9" s="27" customFormat="1" ht="14.5" x14ac:dyDescent="0.35">
      <c r="A69" s="117" t="s">
        <v>171</v>
      </c>
      <c r="B69" s="117" t="s">
        <v>246</v>
      </c>
      <c r="C69" s="118" t="s">
        <v>66</v>
      </c>
      <c r="D69" s="126">
        <v>220</v>
      </c>
      <c r="E69" s="130">
        <v>19000</v>
      </c>
      <c r="F69" s="130">
        <v>18000</v>
      </c>
      <c r="G69" s="130">
        <v>18455</v>
      </c>
      <c r="H69" s="117" t="s">
        <v>247</v>
      </c>
      <c r="I69" s="117" t="s">
        <v>135</v>
      </c>
    </row>
    <row r="70" spans="1:9" s="27" customFormat="1" ht="14.5" x14ac:dyDescent="0.35">
      <c r="A70" s="117" t="s">
        <v>171</v>
      </c>
      <c r="B70" s="117" t="s">
        <v>246</v>
      </c>
      <c r="C70" s="118" t="s">
        <v>57</v>
      </c>
      <c r="D70" s="126">
        <v>180</v>
      </c>
      <c r="E70" s="130">
        <v>16000</v>
      </c>
      <c r="F70" s="130">
        <v>14000</v>
      </c>
      <c r="G70" s="130">
        <v>15111</v>
      </c>
      <c r="H70" s="117" t="s">
        <v>247</v>
      </c>
      <c r="I70" s="117" t="s">
        <v>135</v>
      </c>
    </row>
    <row r="71" spans="1:9" s="27" customFormat="1" ht="14.5" x14ac:dyDescent="0.35">
      <c r="A71" s="117" t="s">
        <v>171</v>
      </c>
      <c r="B71" s="117" t="s">
        <v>202</v>
      </c>
      <c r="C71" s="118" t="s">
        <v>66</v>
      </c>
      <c r="D71" s="126">
        <v>220</v>
      </c>
      <c r="E71" s="130">
        <v>20000</v>
      </c>
      <c r="F71" s="130">
        <v>18000</v>
      </c>
      <c r="G71" s="130">
        <v>18909</v>
      </c>
      <c r="H71" s="117" t="s">
        <v>121</v>
      </c>
      <c r="I71" s="117" t="s">
        <v>135</v>
      </c>
    </row>
    <row r="72" spans="1:9" s="27" customFormat="1" ht="14.5" x14ac:dyDescent="0.35">
      <c r="A72" s="117" t="s">
        <v>171</v>
      </c>
      <c r="B72" s="117" t="s">
        <v>202</v>
      </c>
      <c r="C72" s="118" t="s">
        <v>57</v>
      </c>
      <c r="D72" s="126">
        <v>240</v>
      </c>
      <c r="E72" s="130">
        <v>18000</v>
      </c>
      <c r="F72" s="130">
        <v>16000</v>
      </c>
      <c r="G72" s="130">
        <v>16833</v>
      </c>
      <c r="H72" s="117" t="s">
        <v>121</v>
      </c>
      <c r="I72" s="117" t="s">
        <v>135</v>
      </c>
    </row>
    <row r="73" spans="1:9" s="27" customFormat="1" ht="14.5" x14ac:dyDescent="0.35">
      <c r="A73" s="117" t="s">
        <v>171</v>
      </c>
      <c r="B73" s="117" t="s">
        <v>202</v>
      </c>
      <c r="C73" s="118" t="s">
        <v>68</v>
      </c>
      <c r="D73" s="126">
        <v>320</v>
      </c>
      <c r="E73" s="130">
        <v>14000</v>
      </c>
      <c r="F73" s="130">
        <v>13000</v>
      </c>
      <c r="G73" s="130">
        <v>13625</v>
      </c>
      <c r="H73" s="117" t="s">
        <v>121</v>
      </c>
      <c r="I73" s="117" t="s">
        <v>135</v>
      </c>
    </row>
    <row r="74" spans="1:9" s="27" customFormat="1" ht="14.5" x14ac:dyDescent="0.35">
      <c r="A74" s="117" t="s">
        <v>174</v>
      </c>
      <c r="B74" s="117" t="s">
        <v>248</v>
      </c>
      <c r="C74" s="118" t="s">
        <v>66</v>
      </c>
      <c r="D74" s="126">
        <v>220</v>
      </c>
      <c r="E74" s="130">
        <v>50000</v>
      </c>
      <c r="F74" s="130">
        <v>45000</v>
      </c>
      <c r="G74" s="130">
        <v>47727</v>
      </c>
      <c r="H74" s="117" t="s">
        <v>175</v>
      </c>
      <c r="I74" s="117" t="s">
        <v>59</v>
      </c>
    </row>
    <row r="75" spans="1:9" s="27" customFormat="1" ht="14.5" x14ac:dyDescent="0.35">
      <c r="A75" s="117" t="s">
        <v>73</v>
      </c>
      <c r="B75" s="117" t="s">
        <v>74</v>
      </c>
      <c r="C75" s="118" t="s">
        <v>66</v>
      </c>
      <c r="D75" s="126">
        <v>3500</v>
      </c>
      <c r="E75" s="130">
        <v>2000</v>
      </c>
      <c r="F75" s="130">
        <v>2000</v>
      </c>
      <c r="G75" s="130">
        <v>2000</v>
      </c>
      <c r="H75" s="117" t="s">
        <v>67</v>
      </c>
      <c r="I75" s="117" t="s">
        <v>143</v>
      </c>
    </row>
    <row r="76" spans="1:9" s="27" customFormat="1" ht="14.5" x14ac:dyDescent="0.35">
      <c r="A76" s="117" t="s">
        <v>73</v>
      </c>
      <c r="B76" s="117" t="s">
        <v>176</v>
      </c>
      <c r="C76" s="118" t="s">
        <v>66</v>
      </c>
      <c r="D76" s="126">
        <v>9100</v>
      </c>
      <c r="E76" s="130">
        <v>2000</v>
      </c>
      <c r="F76" s="130">
        <v>1800</v>
      </c>
      <c r="G76" s="130">
        <v>1947</v>
      </c>
      <c r="H76" s="117" t="s">
        <v>67</v>
      </c>
      <c r="I76" s="117" t="s">
        <v>143</v>
      </c>
    </row>
    <row r="77" spans="1:9" s="27" customFormat="1" ht="14.5" x14ac:dyDescent="0.35">
      <c r="A77" s="117" t="s">
        <v>73</v>
      </c>
      <c r="B77" s="117" t="s">
        <v>176</v>
      </c>
      <c r="C77" s="118" t="s">
        <v>66</v>
      </c>
      <c r="D77" s="126">
        <v>3300</v>
      </c>
      <c r="E77" s="130">
        <v>2000</v>
      </c>
      <c r="F77" s="130">
        <v>2000</v>
      </c>
      <c r="G77" s="130">
        <v>2000</v>
      </c>
      <c r="H77" s="117" t="s">
        <v>67</v>
      </c>
      <c r="I77" s="117" t="s">
        <v>196</v>
      </c>
    </row>
    <row r="78" spans="1:9" s="27" customFormat="1" ht="14.5" x14ac:dyDescent="0.35">
      <c r="A78" s="117" t="s">
        <v>73</v>
      </c>
      <c r="B78" s="117" t="s">
        <v>176</v>
      </c>
      <c r="C78" s="118" t="s">
        <v>57</v>
      </c>
      <c r="D78" s="126">
        <v>3300</v>
      </c>
      <c r="E78" s="130">
        <v>1500</v>
      </c>
      <c r="F78" s="130">
        <v>1500</v>
      </c>
      <c r="G78" s="130">
        <v>1500</v>
      </c>
      <c r="H78" s="117" t="s">
        <v>67</v>
      </c>
      <c r="I78" s="117" t="s">
        <v>143</v>
      </c>
    </row>
    <row r="79" spans="1:9" s="27" customFormat="1" ht="14.5" x14ac:dyDescent="0.35">
      <c r="A79" s="117" t="s">
        <v>73</v>
      </c>
      <c r="B79" s="117" t="s">
        <v>145</v>
      </c>
      <c r="C79" s="118" t="s">
        <v>57</v>
      </c>
      <c r="D79" s="126">
        <v>2200</v>
      </c>
      <c r="E79" s="130">
        <v>2000</v>
      </c>
      <c r="F79" s="130">
        <v>2000</v>
      </c>
      <c r="G79" s="130">
        <v>2000</v>
      </c>
      <c r="H79" s="117" t="s">
        <v>67</v>
      </c>
      <c r="I79" s="117" t="s">
        <v>143</v>
      </c>
    </row>
    <row r="80" spans="1:9" s="27" customFormat="1" ht="14.5" x14ac:dyDescent="0.35">
      <c r="A80" s="117" t="s">
        <v>75</v>
      </c>
      <c r="B80" s="117" t="s">
        <v>78</v>
      </c>
      <c r="C80" s="118" t="s">
        <v>66</v>
      </c>
      <c r="D80" s="126">
        <v>1400</v>
      </c>
      <c r="E80" s="130">
        <v>18000</v>
      </c>
      <c r="F80" s="130">
        <v>18000</v>
      </c>
      <c r="G80" s="130">
        <v>18000</v>
      </c>
      <c r="H80" s="117" t="s">
        <v>177</v>
      </c>
      <c r="I80" s="117" t="s">
        <v>63</v>
      </c>
    </row>
    <row r="81" spans="1:9" s="27" customFormat="1" ht="14.5" x14ac:dyDescent="0.35">
      <c r="A81" s="117" t="s">
        <v>75</v>
      </c>
      <c r="B81" s="117" t="s">
        <v>78</v>
      </c>
      <c r="C81" s="118" t="s">
        <v>57</v>
      </c>
      <c r="D81" s="126">
        <v>1100</v>
      </c>
      <c r="E81" s="130">
        <v>17000</v>
      </c>
      <c r="F81" s="130">
        <v>17000</v>
      </c>
      <c r="G81" s="130">
        <v>17000</v>
      </c>
      <c r="H81" s="117" t="s">
        <v>177</v>
      </c>
      <c r="I81" s="117" t="s">
        <v>63</v>
      </c>
    </row>
    <row r="82" spans="1:9" s="27" customFormat="1" ht="14.5" x14ac:dyDescent="0.35">
      <c r="A82" s="117" t="s">
        <v>75</v>
      </c>
      <c r="B82" s="117" t="s">
        <v>78</v>
      </c>
      <c r="C82" s="118" t="s">
        <v>68</v>
      </c>
      <c r="D82" s="126">
        <v>500</v>
      </c>
      <c r="E82" s="130">
        <v>15000</v>
      </c>
      <c r="F82" s="130">
        <v>15000</v>
      </c>
      <c r="G82" s="130">
        <v>15000</v>
      </c>
      <c r="H82" s="117" t="s">
        <v>177</v>
      </c>
      <c r="I82" s="117" t="s">
        <v>63</v>
      </c>
    </row>
    <row r="83" spans="1:9" s="27" customFormat="1" ht="14.5" x14ac:dyDescent="0.35">
      <c r="A83" s="117" t="s">
        <v>178</v>
      </c>
      <c r="B83" s="117" t="s">
        <v>65</v>
      </c>
      <c r="C83" s="118" t="s">
        <v>182</v>
      </c>
      <c r="D83" s="126">
        <v>560</v>
      </c>
      <c r="E83" s="130">
        <v>10000</v>
      </c>
      <c r="F83" s="130">
        <v>10000</v>
      </c>
      <c r="G83" s="130">
        <v>10000</v>
      </c>
      <c r="H83" s="117" t="s">
        <v>179</v>
      </c>
      <c r="I83" s="117" t="s">
        <v>163</v>
      </c>
    </row>
    <row r="84" spans="1:9" s="27" customFormat="1" ht="14.5" x14ac:dyDescent="0.35">
      <c r="A84" s="117" t="s">
        <v>178</v>
      </c>
      <c r="B84" s="117" t="s">
        <v>65</v>
      </c>
      <c r="C84" s="118" t="s">
        <v>66</v>
      </c>
      <c r="D84" s="126">
        <v>1500</v>
      </c>
      <c r="E84" s="130">
        <v>13000</v>
      </c>
      <c r="F84" s="130">
        <v>12000</v>
      </c>
      <c r="G84" s="130">
        <v>12467</v>
      </c>
      <c r="H84" s="117" t="s">
        <v>179</v>
      </c>
      <c r="I84" s="117" t="s">
        <v>163</v>
      </c>
    </row>
    <row r="85" spans="1:9" s="27" customFormat="1" ht="14.5" x14ac:dyDescent="0.35">
      <c r="A85" s="117" t="s">
        <v>178</v>
      </c>
      <c r="B85" s="117" t="s">
        <v>65</v>
      </c>
      <c r="C85" s="118" t="s">
        <v>57</v>
      </c>
      <c r="D85" s="126">
        <v>800</v>
      </c>
      <c r="E85" s="130">
        <v>10000</v>
      </c>
      <c r="F85" s="130">
        <v>10000</v>
      </c>
      <c r="G85" s="130">
        <v>10000</v>
      </c>
      <c r="H85" s="117" t="s">
        <v>179</v>
      </c>
      <c r="I85" s="117" t="s">
        <v>163</v>
      </c>
    </row>
    <row r="86" spans="1:9" s="27" customFormat="1" ht="14.5" x14ac:dyDescent="0.35">
      <c r="A86" s="117" t="s">
        <v>181</v>
      </c>
      <c r="B86" s="117" t="s">
        <v>182</v>
      </c>
      <c r="C86" s="118" t="s">
        <v>146</v>
      </c>
      <c r="D86" s="126">
        <v>1800</v>
      </c>
      <c r="E86" s="130">
        <v>2000</v>
      </c>
      <c r="F86" s="130">
        <v>1900</v>
      </c>
      <c r="G86" s="130">
        <v>1961</v>
      </c>
      <c r="H86" s="117" t="s">
        <v>183</v>
      </c>
      <c r="I86" s="117" t="s">
        <v>99</v>
      </c>
    </row>
    <row r="87" spans="1:9" s="27" customFormat="1" ht="14.5" x14ac:dyDescent="0.35">
      <c r="A87" s="117" t="s">
        <v>181</v>
      </c>
      <c r="B87" s="117" t="s">
        <v>182</v>
      </c>
      <c r="C87" s="118" t="s">
        <v>184</v>
      </c>
      <c r="D87" s="126">
        <v>800</v>
      </c>
      <c r="E87" s="130">
        <v>1600</v>
      </c>
      <c r="F87" s="130">
        <v>1600</v>
      </c>
      <c r="G87" s="130">
        <v>1600</v>
      </c>
      <c r="H87" s="117" t="s">
        <v>183</v>
      </c>
      <c r="I87" s="117" t="s">
        <v>99</v>
      </c>
    </row>
    <row r="88" spans="1:9" s="27" customFormat="1" ht="14.5" x14ac:dyDescent="0.35">
      <c r="A88" s="117" t="s">
        <v>181</v>
      </c>
      <c r="B88" s="117" t="s">
        <v>186</v>
      </c>
      <c r="C88" s="118" t="s">
        <v>146</v>
      </c>
      <c r="D88" s="126">
        <v>6900</v>
      </c>
      <c r="E88" s="130">
        <v>800</v>
      </c>
      <c r="F88" s="130">
        <v>750</v>
      </c>
      <c r="G88" s="130">
        <v>776</v>
      </c>
      <c r="H88" s="117" t="s">
        <v>183</v>
      </c>
      <c r="I88" s="117" t="s">
        <v>99</v>
      </c>
    </row>
    <row r="89" spans="1:9" s="27" customFormat="1" ht="15" thickBot="1" x14ac:dyDescent="0.4">
      <c r="A89" s="123" t="s">
        <v>181</v>
      </c>
      <c r="B89" s="123" t="s">
        <v>186</v>
      </c>
      <c r="C89" s="124" t="s">
        <v>184</v>
      </c>
      <c r="D89" s="127">
        <v>2500</v>
      </c>
      <c r="E89" s="131">
        <v>600</v>
      </c>
      <c r="F89" s="131">
        <v>600</v>
      </c>
      <c r="G89" s="131">
        <v>600</v>
      </c>
      <c r="H89" s="123" t="s">
        <v>183</v>
      </c>
      <c r="I89" s="123" t="s">
        <v>99</v>
      </c>
    </row>
    <row r="90" spans="1:9" s="27" customFormat="1" ht="14.5" x14ac:dyDescent="0.35">
      <c r="A90" s="128" t="s">
        <v>310</v>
      </c>
      <c r="B90" s="77"/>
      <c r="C90" s="114"/>
      <c r="D90" s="116"/>
      <c r="E90" s="129"/>
      <c r="F90" s="129"/>
      <c r="G90" s="129"/>
      <c r="H90" s="77"/>
      <c r="I90" s="77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5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2" t="s">
        <v>7</v>
      </c>
      <c r="B2" s="83"/>
      <c r="D2" s="62"/>
      <c r="E2" s="62"/>
      <c r="F2" s="62"/>
      <c r="G2" s="62"/>
    </row>
    <row r="3" spans="1:9" ht="18.5" x14ac:dyDescent="0.45">
      <c r="A3" s="83" t="s">
        <v>15</v>
      </c>
      <c r="B3" s="83"/>
      <c r="D3" s="62"/>
      <c r="E3" s="62"/>
      <c r="F3" s="62"/>
      <c r="G3" s="62"/>
    </row>
    <row r="4" spans="1:9" ht="18.5" x14ac:dyDescent="0.45">
      <c r="A4" s="83" t="s">
        <v>16</v>
      </c>
      <c r="B4" s="85">
        <f ca="1">+'Frutas_Lo Valledor'!$B$4</f>
        <v>46226</v>
      </c>
      <c r="D4" s="62"/>
      <c r="E4" s="62"/>
      <c r="F4" s="62"/>
      <c r="G4" s="62"/>
    </row>
    <row r="5" spans="1:9" ht="18.5" x14ac:dyDescent="0.45">
      <c r="A5" s="83" t="s">
        <v>49</v>
      </c>
      <c r="B5" s="83"/>
      <c r="D5" s="62"/>
      <c r="E5" s="62"/>
      <c r="F5" s="62"/>
      <c r="G5" s="62"/>
    </row>
    <row r="6" spans="1:9" ht="18.5" x14ac:dyDescent="0.45">
      <c r="A6" s="83"/>
      <c r="B6" s="83"/>
      <c r="D6" s="62"/>
      <c r="E6" s="62"/>
      <c r="F6" s="62"/>
      <c r="G6" s="62"/>
    </row>
    <row r="7" spans="1:9" ht="18.5" x14ac:dyDescent="0.3">
      <c r="A7" s="86" t="s">
        <v>30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127</v>
      </c>
      <c r="B10" s="122" t="s">
        <v>65</v>
      </c>
      <c r="C10" s="122" t="s">
        <v>66</v>
      </c>
      <c r="D10" s="125">
        <v>160</v>
      </c>
      <c r="E10" s="125">
        <v>40000</v>
      </c>
      <c r="F10" s="125">
        <v>38000</v>
      </c>
      <c r="G10" s="125">
        <v>39000</v>
      </c>
      <c r="H10" s="122" t="s">
        <v>235</v>
      </c>
      <c r="I10" s="122" t="s">
        <v>143</v>
      </c>
    </row>
    <row r="11" spans="1:9" s="27" customFormat="1" ht="14.5" x14ac:dyDescent="0.35">
      <c r="A11" s="117" t="s">
        <v>127</v>
      </c>
      <c r="B11" s="117" t="s">
        <v>65</v>
      </c>
      <c r="C11" s="118" t="s">
        <v>57</v>
      </c>
      <c r="D11" s="126">
        <v>70</v>
      </c>
      <c r="E11" s="126">
        <v>32000</v>
      </c>
      <c r="F11" s="126">
        <v>32000</v>
      </c>
      <c r="G11" s="126">
        <v>32000</v>
      </c>
      <c r="H11" s="117" t="s">
        <v>235</v>
      </c>
      <c r="I11" s="117" t="s">
        <v>143</v>
      </c>
    </row>
    <row r="12" spans="1:9" s="27" customFormat="1" ht="14.5" x14ac:dyDescent="0.35">
      <c r="A12" s="117" t="s">
        <v>132</v>
      </c>
      <c r="B12" s="117" t="s">
        <v>133</v>
      </c>
      <c r="C12" s="118" t="s">
        <v>66</v>
      </c>
      <c r="D12" s="126">
        <v>250</v>
      </c>
      <c r="E12" s="126">
        <v>18000</v>
      </c>
      <c r="F12" s="126">
        <v>17000</v>
      </c>
      <c r="G12" s="126">
        <v>17500</v>
      </c>
      <c r="H12" s="117" t="s">
        <v>134</v>
      </c>
      <c r="I12" s="117" t="s">
        <v>135</v>
      </c>
    </row>
    <row r="13" spans="1:9" s="27" customFormat="1" ht="14.5" x14ac:dyDescent="0.35">
      <c r="A13" s="117" t="s">
        <v>132</v>
      </c>
      <c r="B13" s="117" t="s">
        <v>133</v>
      </c>
      <c r="C13" s="118" t="s">
        <v>57</v>
      </c>
      <c r="D13" s="126">
        <v>160</v>
      </c>
      <c r="E13" s="126">
        <v>15000</v>
      </c>
      <c r="F13" s="126">
        <v>14000</v>
      </c>
      <c r="G13" s="126">
        <v>14500</v>
      </c>
      <c r="H13" s="117" t="s">
        <v>136</v>
      </c>
      <c r="I13" s="117" t="s">
        <v>135</v>
      </c>
    </row>
    <row r="14" spans="1:9" s="27" customFormat="1" ht="14.5" x14ac:dyDescent="0.35">
      <c r="A14" s="117" t="s">
        <v>141</v>
      </c>
      <c r="B14" s="117" t="s">
        <v>65</v>
      </c>
      <c r="C14" s="118" t="s">
        <v>66</v>
      </c>
      <c r="D14" s="126">
        <v>3400</v>
      </c>
      <c r="E14" s="126">
        <v>150</v>
      </c>
      <c r="F14" s="126">
        <v>130</v>
      </c>
      <c r="G14" s="126">
        <v>140</v>
      </c>
      <c r="H14" s="117" t="s">
        <v>67</v>
      </c>
      <c r="I14" s="117" t="s">
        <v>143</v>
      </c>
    </row>
    <row r="15" spans="1:9" s="27" customFormat="1" ht="14.5" x14ac:dyDescent="0.35">
      <c r="A15" s="117" t="s">
        <v>141</v>
      </c>
      <c r="B15" s="117" t="s">
        <v>65</v>
      </c>
      <c r="C15" s="118" t="s">
        <v>57</v>
      </c>
      <c r="D15" s="126">
        <v>1600</v>
      </c>
      <c r="E15" s="126">
        <v>100</v>
      </c>
      <c r="F15" s="126">
        <v>100</v>
      </c>
      <c r="G15" s="126">
        <v>100</v>
      </c>
      <c r="H15" s="117" t="s">
        <v>67</v>
      </c>
      <c r="I15" s="117" t="s">
        <v>143</v>
      </c>
    </row>
    <row r="16" spans="1:9" s="27" customFormat="1" ht="14.5" x14ac:dyDescent="0.35">
      <c r="A16" s="117" t="s">
        <v>64</v>
      </c>
      <c r="B16" s="117" t="s">
        <v>65</v>
      </c>
      <c r="C16" s="118" t="s">
        <v>66</v>
      </c>
      <c r="D16" s="126">
        <v>970</v>
      </c>
      <c r="E16" s="126">
        <v>1100</v>
      </c>
      <c r="F16" s="126">
        <v>1000</v>
      </c>
      <c r="G16" s="126">
        <v>1048</v>
      </c>
      <c r="H16" s="117" t="s">
        <v>67</v>
      </c>
      <c r="I16" s="117" t="s">
        <v>143</v>
      </c>
    </row>
    <row r="17" spans="1:9" s="27" customFormat="1" ht="14.5" x14ac:dyDescent="0.35">
      <c r="A17" s="117" t="s">
        <v>64</v>
      </c>
      <c r="B17" s="117" t="s">
        <v>65</v>
      </c>
      <c r="C17" s="118" t="s">
        <v>57</v>
      </c>
      <c r="D17" s="126">
        <v>700</v>
      </c>
      <c r="E17" s="126">
        <v>900</v>
      </c>
      <c r="F17" s="126">
        <v>900</v>
      </c>
      <c r="G17" s="126">
        <v>900</v>
      </c>
      <c r="H17" s="117" t="s">
        <v>67</v>
      </c>
      <c r="I17" s="117" t="s">
        <v>143</v>
      </c>
    </row>
    <row r="18" spans="1:9" s="27" customFormat="1" ht="14.5" x14ac:dyDescent="0.35">
      <c r="A18" s="117" t="s">
        <v>144</v>
      </c>
      <c r="B18" s="117" t="s">
        <v>65</v>
      </c>
      <c r="C18" s="118" t="s">
        <v>146</v>
      </c>
      <c r="D18" s="126">
        <v>340</v>
      </c>
      <c r="E18" s="126">
        <v>8500</v>
      </c>
      <c r="F18" s="126">
        <v>8500</v>
      </c>
      <c r="G18" s="126">
        <v>8500</v>
      </c>
      <c r="H18" s="117" t="s">
        <v>86</v>
      </c>
      <c r="I18" s="117" t="s">
        <v>99</v>
      </c>
    </row>
    <row r="19" spans="1:9" s="27" customFormat="1" ht="14.5" x14ac:dyDescent="0.35">
      <c r="A19" s="117" t="s">
        <v>144</v>
      </c>
      <c r="B19" s="117" t="s">
        <v>65</v>
      </c>
      <c r="C19" s="118" t="s">
        <v>184</v>
      </c>
      <c r="D19" s="126">
        <v>250</v>
      </c>
      <c r="E19" s="126">
        <v>8000</v>
      </c>
      <c r="F19" s="126">
        <v>8000</v>
      </c>
      <c r="G19" s="126">
        <v>8000</v>
      </c>
      <c r="H19" s="117" t="s">
        <v>86</v>
      </c>
      <c r="I19" s="117" t="s">
        <v>99</v>
      </c>
    </row>
    <row r="20" spans="1:9" s="27" customFormat="1" ht="14.5" x14ac:dyDescent="0.35">
      <c r="A20" s="117" t="s">
        <v>144</v>
      </c>
      <c r="B20" s="117" t="s">
        <v>65</v>
      </c>
      <c r="C20" s="118" t="s">
        <v>237</v>
      </c>
      <c r="D20" s="126">
        <v>160</v>
      </c>
      <c r="E20" s="126">
        <v>7500</v>
      </c>
      <c r="F20" s="126">
        <v>7500</v>
      </c>
      <c r="G20" s="126">
        <v>7500</v>
      </c>
      <c r="H20" s="117" t="s">
        <v>86</v>
      </c>
      <c r="I20" s="117" t="s">
        <v>99</v>
      </c>
    </row>
    <row r="21" spans="1:9" s="27" customFormat="1" ht="14.5" x14ac:dyDescent="0.35">
      <c r="A21" s="117" t="s">
        <v>150</v>
      </c>
      <c r="B21" s="117" t="s">
        <v>65</v>
      </c>
      <c r="C21" s="118" t="s">
        <v>66</v>
      </c>
      <c r="D21" s="126">
        <v>160</v>
      </c>
      <c r="E21" s="126">
        <v>8000</v>
      </c>
      <c r="F21" s="126">
        <v>8000</v>
      </c>
      <c r="G21" s="126">
        <v>8000</v>
      </c>
      <c r="H21" s="117" t="s">
        <v>151</v>
      </c>
      <c r="I21" s="117" t="s">
        <v>143</v>
      </c>
    </row>
    <row r="22" spans="1:9" s="27" customFormat="1" ht="14.5" x14ac:dyDescent="0.35">
      <c r="A22" s="117" t="s">
        <v>150</v>
      </c>
      <c r="B22" s="117" t="s">
        <v>65</v>
      </c>
      <c r="C22" s="118" t="s">
        <v>57</v>
      </c>
      <c r="D22" s="126">
        <v>250</v>
      </c>
      <c r="E22" s="126">
        <v>7000</v>
      </c>
      <c r="F22" s="126">
        <v>7000</v>
      </c>
      <c r="G22" s="126">
        <v>7000</v>
      </c>
      <c r="H22" s="117" t="s">
        <v>151</v>
      </c>
      <c r="I22" s="117" t="s">
        <v>143</v>
      </c>
    </row>
    <row r="23" spans="1:9" s="27" customFormat="1" ht="14.5" x14ac:dyDescent="0.35">
      <c r="A23" s="117" t="s">
        <v>238</v>
      </c>
      <c r="B23" s="117" t="s">
        <v>65</v>
      </c>
      <c r="C23" s="118" t="s">
        <v>66</v>
      </c>
      <c r="D23" s="126">
        <v>250</v>
      </c>
      <c r="E23" s="126">
        <v>2800</v>
      </c>
      <c r="F23" s="126">
        <v>2500</v>
      </c>
      <c r="G23" s="126">
        <v>2650</v>
      </c>
      <c r="H23" s="117" t="s">
        <v>235</v>
      </c>
      <c r="I23" s="117" t="s">
        <v>143</v>
      </c>
    </row>
    <row r="24" spans="1:9" s="27" customFormat="1" ht="14.5" x14ac:dyDescent="0.35">
      <c r="A24" s="117" t="s">
        <v>152</v>
      </c>
      <c r="B24" s="117" t="s">
        <v>65</v>
      </c>
      <c r="C24" s="118" t="s">
        <v>66</v>
      </c>
      <c r="D24" s="126">
        <v>160</v>
      </c>
      <c r="E24" s="126">
        <v>23000</v>
      </c>
      <c r="F24" s="126">
        <v>22000</v>
      </c>
      <c r="G24" s="126">
        <v>22500</v>
      </c>
      <c r="H24" s="117" t="s">
        <v>199</v>
      </c>
      <c r="I24" s="117" t="s">
        <v>143</v>
      </c>
    </row>
    <row r="25" spans="1:9" s="27" customFormat="1" ht="14.5" x14ac:dyDescent="0.35">
      <c r="A25" s="117" t="s">
        <v>152</v>
      </c>
      <c r="B25" s="117" t="s">
        <v>65</v>
      </c>
      <c r="C25" s="118" t="s">
        <v>57</v>
      </c>
      <c r="D25" s="126">
        <v>70</v>
      </c>
      <c r="E25" s="126">
        <v>38000</v>
      </c>
      <c r="F25" s="126">
        <v>35000</v>
      </c>
      <c r="G25" s="126">
        <v>36500</v>
      </c>
      <c r="H25" s="117" t="s">
        <v>235</v>
      </c>
      <c r="I25" s="117" t="s">
        <v>143</v>
      </c>
    </row>
    <row r="26" spans="1:9" s="27" customFormat="1" ht="14.5" x14ac:dyDescent="0.35">
      <c r="A26" s="117" t="s">
        <v>154</v>
      </c>
      <c r="B26" s="117" t="s">
        <v>65</v>
      </c>
      <c r="C26" s="118" t="s">
        <v>66</v>
      </c>
      <c r="D26" s="126">
        <v>700</v>
      </c>
      <c r="E26" s="126">
        <v>1100</v>
      </c>
      <c r="F26" s="126">
        <v>1000</v>
      </c>
      <c r="G26" s="126">
        <v>1050</v>
      </c>
      <c r="H26" s="117" t="s">
        <v>67</v>
      </c>
      <c r="I26" s="117" t="s">
        <v>143</v>
      </c>
    </row>
    <row r="27" spans="1:9" s="27" customFormat="1" ht="14.5" x14ac:dyDescent="0.35">
      <c r="A27" s="117" t="s">
        <v>154</v>
      </c>
      <c r="B27" s="117" t="s">
        <v>65</v>
      </c>
      <c r="C27" s="118" t="s">
        <v>57</v>
      </c>
      <c r="D27" s="126">
        <v>520</v>
      </c>
      <c r="E27" s="126">
        <v>800</v>
      </c>
      <c r="F27" s="126">
        <v>800</v>
      </c>
      <c r="G27" s="126">
        <v>800</v>
      </c>
      <c r="H27" s="117" t="s">
        <v>67</v>
      </c>
      <c r="I27" s="117" t="s">
        <v>143</v>
      </c>
    </row>
    <row r="28" spans="1:9" s="27" customFormat="1" ht="14.5" x14ac:dyDescent="0.35">
      <c r="A28" s="117" t="s">
        <v>156</v>
      </c>
      <c r="B28" s="117" t="s">
        <v>65</v>
      </c>
      <c r="C28" s="118" t="s">
        <v>66</v>
      </c>
      <c r="D28" s="126">
        <v>70</v>
      </c>
      <c r="E28" s="126">
        <v>18000</v>
      </c>
      <c r="F28" s="126">
        <v>15000</v>
      </c>
      <c r="G28" s="126">
        <v>16500</v>
      </c>
      <c r="H28" s="117" t="s">
        <v>239</v>
      </c>
      <c r="I28" s="117" t="s">
        <v>275</v>
      </c>
    </row>
    <row r="29" spans="1:9" s="27" customFormat="1" ht="14.5" x14ac:dyDescent="0.35">
      <c r="A29" s="117" t="s">
        <v>276</v>
      </c>
      <c r="B29" s="117" t="s">
        <v>65</v>
      </c>
      <c r="C29" s="118" t="s">
        <v>66</v>
      </c>
      <c r="D29" s="126">
        <v>70</v>
      </c>
      <c r="E29" s="126">
        <v>18000</v>
      </c>
      <c r="F29" s="126">
        <v>16000</v>
      </c>
      <c r="G29" s="126">
        <v>17000</v>
      </c>
      <c r="H29" s="117" t="s">
        <v>162</v>
      </c>
      <c r="I29" s="117" t="s">
        <v>196</v>
      </c>
    </row>
    <row r="30" spans="1:9" s="27" customFormat="1" ht="14.5" x14ac:dyDescent="0.35">
      <c r="A30" s="117" t="s">
        <v>69</v>
      </c>
      <c r="B30" s="117" t="s">
        <v>70</v>
      </c>
      <c r="C30" s="118" t="s">
        <v>57</v>
      </c>
      <c r="D30" s="126">
        <v>250</v>
      </c>
      <c r="E30" s="126">
        <v>18000</v>
      </c>
      <c r="F30" s="126">
        <v>15000</v>
      </c>
      <c r="G30" s="126">
        <v>16500</v>
      </c>
      <c r="H30" s="117" t="s">
        <v>72</v>
      </c>
      <c r="I30" s="117" t="s">
        <v>196</v>
      </c>
    </row>
    <row r="31" spans="1:9" s="27" customFormat="1" ht="14.5" x14ac:dyDescent="0.35">
      <c r="A31" s="117" t="s">
        <v>69</v>
      </c>
      <c r="B31" s="117" t="s">
        <v>277</v>
      </c>
      <c r="C31" s="118" t="s">
        <v>66</v>
      </c>
      <c r="D31" s="126">
        <v>70</v>
      </c>
      <c r="E31" s="126">
        <v>12000</v>
      </c>
      <c r="F31" s="126">
        <v>10000</v>
      </c>
      <c r="G31" s="126">
        <v>11000</v>
      </c>
      <c r="H31" s="117" t="s">
        <v>159</v>
      </c>
      <c r="I31" s="117" t="s">
        <v>143</v>
      </c>
    </row>
    <row r="32" spans="1:9" s="27" customFormat="1" ht="14.5" x14ac:dyDescent="0.35">
      <c r="A32" s="117" t="s">
        <v>69</v>
      </c>
      <c r="B32" s="117" t="s">
        <v>277</v>
      </c>
      <c r="C32" s="118" t="s">
        <v>57</v>
      </c>
      <c r="D32" s="126">
        <v>52</v>
      </c>
      <c r="E32" s="126">
        <v>8000</v>
      </c>
      <c r="F32" s="126">
        <v>8000</v>
      </c>
      <c r="G32" s="126">
        <v>8000</v>
      </c>
      <c r="H32" s="117" t="s">
        <v>72</v>
      </c>
      <c r="I32" s="117" t="s">
        <v>143</v>
      </c>
    </row>
    <row r="33" spans="1:9" s="27" customFormat="1" ht="14.5" x14ac:dyDescent="0.35">
      <c r="A33" s="117" t="s">
        <v>69</v>
      </c>
      <c r="B33" s="117" t="s">
        <v>216</v>
      </c>
      <c r="C33" s="118" t="s">
        <v>66</v>
      </c>
      <c r="D33" s="126">
        <v>106</v>
      </c>
      <c r="E33" s="126">
        <v>12000</v>
      </c>
      <c r="F33" s="126">
        <v>10000</v>
      </c>
      <c r="G33" s="126">
        <v>11000</v>
      </c>
      <c r="H33" s="117" t="s">
        <v>159</v>
      </c>
      <c r="I33" s="117" t="s">
        <v>143</v>
      </c>
    </row>
    <row r="34" spans="1:9" s="27" customFormat="1" ht="14.5" x14ac:dyDescent="0.35">
      <c r="A34" s="117" t="s">
        <v>69</v>
      </c>
      <c r="B34" s="117" t="s">
        <v>216</v>
      </c>
      <c r="C34" s="118" t="s">
        <v>57</v>
      </c>
      <c r="D34" s="126">
        <v>70</v>
      </c>
      <c r="E34" s="126">
        <v>8000</v>
      </c>
      <c r="F34" s="126">
        <v>8000</v>
      </c>
      <c r="G34" s="126">
        <v>8000</v>
      </c>
      <c r="H34" s="117" t="s">
        <v>72</v>
      </c>
      <c r="I34" s="117" t="s">
        <v>143</v>
      </c>
    </row>
    <row r="35" spans="1:9" s="27" customFormat="1" ht="14.5" x14ac:dyDescent="0.35">
      <c r="A35" s="117" t="s">
        <v>160</v>
      </c>
      <c r="B35" s="117" t="s">
        <v>161</v>
      </c>
      <c r="C35" s="118" t="s">
        <v>217</v>
      </c>
      <c r="D35" s="126">
        <v>970</v>
      </c>
      <c r="E35" s="126">
        <v>19000</v>
      </c>
      <c r="F35" s="126">
        <v>18000</v>
      </c>
      <c r="G35" s="126">
        <v>18485</v>
      </c>
      <c r="H35" s="117" t="s">
        <v>175</v>
      </c>
      <c r="I35" s="117" t="s">
        <v>155</v>
      </c>
    </row>
    <row r="36" spans="1:9" s="27" customFormat="1" ht="14.5" x14ac:dyDescent="0.35">
      <c r="A36" s="117" t="s">
        <v>160</v>
      </c>
      <c r="B36" s="117" t="s">
        <v>161</v>
      </c>
      <c r="C36" s="118" t="s">
        <v>166</v>
      </c>
      <c r="D36" s="126">
        <v>700</v>
      </c>
      <c r="E36" s="126">
        <v>18000</v>
      </c>
      <c r="F36" s="126">
        <v>17000</v>
      </c>
      <c r="G36" s="126">
        <v>17500</v>
      </c>
      <c r="H36" s="117" t="s">
        <v>162</v>
      </c>
      <c r="I36" s="117" t="s">
        <v>155</v>
      </c>
    </row>
    <row r="37" spans="1:9" s="27" customFormat="1" ht="14.5" x14ac:dyDescent="0.35">
      <c r="A37" s="117" t="s">
        <v>160</v>
      </c>
      <c r="B37" s="117" t="s">
        <v>200</v>
      </c>
      <c r="C37" s="118" t="s">
        <v>166</v>
      </c>
      <c r="D37" s="126">
        <v>1240</v>
      </c>
      <c r="E37" s="126">
        <v>17000</v>
      </c>
      <c r="F37" s="126">
        <v>16000</v>
      </c>
      <c r="G37" s="126">
        <v>16500</v>
      </c>
      <c r="H37" s="117" t="s">
        <v>162</v>
      </c>
      <c r="I37" s="117" t="s">
        <v>243</v>
      </c>
    </row>
    <row r="38" spans="1:9" s="27" customFormat="1" ht="14.5" x14ac:dyDescent="0.35">
      <c r="A38" s="117" t="s">
        <v>160</v>
      </c>
      <c r="B38" s="117" t="s">
        <v>165</v>
      </c>
      <c r="C38" s="118" t="s">
        <v>166</v>
      </c>
      <c r="D38" s="126">
        <v>1060</v>
      </c>
      <c r="E38" s="126">
        <v>17000</v>
      </c>
      <c r="F38" s="126">
        <v>16000</v>
      </c>
      <c r="G38" s="126">
        <v>16500</v>
      </c>
      <c r="H38" s="117" t="s">
        <v>162</v>
      </c>
      <c r="I38" s="117" t="s">
        <v>167</v>
      </c>
    </row>
    <row r="39" spans="1:9" s="27" customFormat="1" ht="14.5" x14ac:dyDescent="0.35">
      <c r="A39" s="117" t="s">
        <v>171</v>
      </c>
      <c r="B39" s="117" t="s">
        <v>202</v>
      </c>
      <c r="C39" s="118" t="s">
        <v>66</v>
      </c>
      <c r="D39" s="126">
        <v>250</v>
      </c>
      <c r="E39" s="126">
        <v>17000</v>
      </c>
      <c r="F39" s="126">
        <v>16000</v>
      </c>
      <c r="G39" s="126">
        <v>16500</v>
      </c>
      <c r="H39" s="117" t="s">
        <v>121</v>
      </c>
      <c r="I39" s="117" t="s">
        <v>135</v>
      </c>
    </row>
    <row r="40" spans="1:9" s="27" customFormat="1" ht="14.5" x14ac:dyDescent="0.35">
      <c r="A40" s="117" t="s">
        <v>171</v>
      </c>
      <c r="B40" s="117" t="s">
        <v>202</v>
      </c>
      <c r="C40" s="118" t="s">
        <v>57</v>
      </c>
      <c r="D40" s="126">
        <v>160</v>
      </c>
      <c r="E40" s="126">
        <v>15000</v>
      </c>
      <c r="F40" s="126">
        <v>14000</v>
      </c>
      <c r="G40" s="126">
        <v>14500</v>
      </c>
      <c r="H40" s="117" t="s">
        <v>121</v>
      </c>
      <c r="I40" s="117" t="s">
        <v>135</v>
      </c>
    </row>
    <row r="41" spans="1:9" s="27" customFormat="1" ht="14.5" x14ac:dyDescent="0.35">
      <c r="A41" s="117" t="s">
        <v>171</v>
      </c>
      <c r="B41" s="117" t="s">
        <v>278</v>
      </c>
      <c r="C41" s="118" t="s">
        <v>66</v>
      </c>
      <c r="D41" s="126">
        <v>160</v>
      </c>
      <c r="E41" s="126">
        <v>22000</v>
      </c>
      <c r="F41" s="126">
        <v>21000</v>
      </c>
      <c r="G41" s="126">
        <v>21500</v>
      </c>
      <c r="H41" s="117" t="s">
        <v>247</v>
      </c>
      <c r="I41" s="117" t="s">
        <v>135</v>
      </c>
    </row>
    <row r="42" spans="1:9" s="27" customFormat="1" ht="14.5" x14ac:dyDescent="0.35">
      <c r="A42" s="117" t="s">
        <v>171</v>
      </c>
      <c r="B42" s="117" t="s">
        <v>278</v>
      </c>
      <c r="C42" s="118" t="s">
        <v>57</v>
      </c>
      <c r="D42" s="126">
        <v>97</v>
      </c>
      <c r="E42" s="126">
        <v>20000</v>
      </c>
      <c r="F42" s="126">
        <v>19000</v>
      </c>
      <c r="G42" s="126">
        <v>19485</v>
      </c>
      <c r="H42" s="117" t="s">
        <v>247</v>
      </c>
      <c r="I42" s="117" t="s">
        <v>135</v>
      </c>
    </row>
    <row r="43" spans="1:9" s="27" customFormat="1" ht="14.5" x14ac:dyDescent="0.35">
      <c r="A43" s="117" t="s">
        <v>174</v>
      </c>
      <c r="B43" s="117" t="s">
        <v>248</v>
      </c>
      <c r="C43" s="118" t="s">
        <v>66</v>
      </c>
      <c r="D43" s="126">
        <v>70</v>
      </c>
      <c r="E43" s="126">
        <v>45000</v>
      </c>
      <c r="F43" s="126">
        <v>42000</v>
      </c>
      <c r="G43" s="126">
        <v>43500</v>
      </c>
      <c r="H43" s="117" t="s">
        <v>175</v>
      </c>
      <c r="I43" s="117" t="s">
        <v>59</v>
      </c>
    </row>
    <row r="44" spans="1:9" s="27" customFormat="1" ht="14.5" x14ac:dyDescent="0.35">
      <c r="A44" s="117" t="s">
        <v>75</v>
      </c>
      <c r="B44" s="117" t="s">
        <v>78</v>
      </c>
      <c r="C44" s="118" t="s">
        <v>203</v>
      </c>
      <c r="D44" s="126">
        <v>160</v>
      </c>
      <c r="E44" s="126">
        <v>19000</v>
      </c>
      <c r="F44" s="126">
        <v>18000</v>
      </c>
      <c r="G44" s="126">
        <v>18500</v>
      </c>
      <c r="H44" s="117" t="s">
        <v>177</v>
      </c>
      <c r="I44" s="117" t="s">
        <v>63</v>
      </c>
    </row>
    <row r="45" spans="1:9" s="27" customFormat="1" ht="14.5" x14ac:dyDescent="0.35">
      <c r="A45" s="117" t="s">
        <v>75</v>
      </c>
      <c r="B45" s="117" t="s">
        <v>78</v>
      </c>
      <c r="C45" s="118" t="s">
        <v>66</v>
      </c>
      <c r="D45" s="126">
        <v>340</v>
      </c>
      <c r="E45" s="126">
        <v>17000</v>
      </c>
      <c r="F45" s="126">
        <v>16000</v>
      </c>
      <c r="G45" s="126">
        <v>16500</v>
      </c>
      <c r="H45" s="117" t="s">
        <v>177</v>
      </c>
      <c r="I45" s="117" t="s">
        <v>63</v>
      </c>
    </row>
    <row r="46" spans="1:9" s="27" customFormat="1" ht="14.5" x14ac:dyDescent="0.35">
      <c r="A46" s="117" t="s">
        <v>75</v>
      </c>
      <c r="B46" s="117" t="s">
        <v>78</v>
      </c>
      <c r="C46" s="118" t="s">
        <v>57</v>
      </c>
      <c r="D46" s="126">
        <v>250</v>
      </c>
      <c r="E46" s="126">
        <v>15000</v>
      </c>
      <c r="F46" s="126">
        <v>14000</v>
      </c>
      <c r="G46" s="126">
        <v>14500</v>
      </c>
      <c r="H46" s="117" t="s">
        <v>177</v>
      </c>
      <c r="I46" s="117" t="s">
        <v>63</v>
      </c>
    </row>
    <row r="47" spans="1:9" s="27" customFormat="1" ht="14.5" x14ac:dyDescent="0.35">
      <c r="A47" s="117" t="s">
        <v>75</v>
      </c>
      <c r="B47" s="117" t="s">
        <v>78</v>
      </c>
      <c r="C47" s="118" t="s">
        <v>68</v>
      </c>
      <c r="D47" s="126">
        <v>97</v>
      </c>
      <c r="E47" s="126">
        <v>13000</v>
      </c>
      <c r="F47" s="126">
        <v>12000</v>
      </c>
      <c r="G47" s="126">
        <v>12485</v>
      </c>
      <c r="H47" s="117" t="s">
        <v>177</v>
      </c>
      <c r="I47" s="117" t="s">
        <v>63</v>
      </c>
    </row>
    <row r="48" spans="1:9" s="27" customFormat="1" ht="14.5" x14ac:dyDescent="0.35">
      <c r="A48" s="117" t="s">
        <v>178</v>
      </c>
      <c r="B48" s="117" t="s">
        <v>65</v>
      </c>
      <c r="C48" s="118" t="s">
        <v>66</v>
      </c>
      <c r="D48" s="126">
        <v>700</v>
      </c>
      <c r="E48" s="126">
        <v>16000</v>
      </c>
      <c r="F48" s="126">
        <v>15000</v>
      </c>
      <c r="G48" s="126">
        <v>15500</v>
      </c>
      <c r="H48" s="117" t="s">
        <v>179</v>
      </c>
      <c r="I48" s="117" t="s">
        <v>254</v>
      </c>
    </row>
    <row r="49" spans="1:9" s="27" customFormat="1" ht="14.5" x14ac:dyDescent="0.35">
      <c r="A49" s="117" t="s">
        <v>178</v>
      </c>
      <c r="B49" s="117" t="s">
        <v>65</v>
      </c>
      <c r="C49" s="118" t="s">
        <v>57</v>
      </c>
      <c r="D49" s="126">
        <v>610</v>
      </c>
      <c r="E49" s="126">
        <v>14000</v>
      </c>
      <c r="F49" s="126">
        <v>13000</v>
      </c>
      <c r="G49" s="126">
        <v>13500</v>
      </c>
      <c r="H49" s="117" t="s">
        <v>179</v>
      </c>
      <c r="I49" s="117" t="s">
        <v>254</v>
      </c>
    </row>
    <row r="50" spans="1:9" s="27" customFormat="1" ht="15" thickBot="1" x14ac:dyDescent="0.4">
      <c r="A50" s="123" t="s">
        <v>181</v>
      </c>
      <c r="B50" s="123" t="s">
        <v>182</v>
      </c>
      <c r="C50" s="124" t="s">
        <v>146</v>
      </c>
      <c r="D50" s="127">
        <v>700</v>
      </c>
      <c r="E50" s="127">
        <v>2200</v>
      </c>
      <c r="F50" s="127">
        <v>2000</v>
      </c>
      <c r="G50" s="127">
        <v>2100</v>
      </c>
      <c r="H50" s="123" t="s">
        <v>183</v>
      </c>
      <c r="I50" s="123" t="s">
        <v>99</v>
      </c>
    </row>
    <row r="51" spans="1:9" s="27" customFormat="1" ht="14.5" x14ac:dyDescent="0.35">
      <c r="A51" s="128" t="s">
        <v>310</v>
      </c>
      <c r="B51" s="77"/>
      <c r="C51" s="114"/>
      <c r="D51" s="116"/>
      <c r="E51" s="116"/>
      <c r="F51" s="116"/>
      <c r="G51" s="116"/>
      <c r="H51" s="77"/>
      <c r="I51" s="77"/>
    </row>
    <row r="52" spans="1:9" s="27" customFormat="1" ht="14.5" x14ac:dyDescent="0.35">
      <c r="C52" s="69"/>
      <c r="D52" s="71"/>
      <c r="E52" s="71"/>
      <c r="F52" s="71"/>
      <c r="G52" s="71"/>
    </row>
    <row r="53" spans="1:9" s="27" customFormat="1" ht="14.5" x14ac:dyDescent="0.35">
      <c r="C53" s="69"/>
      <c r="D53" s="71"/>
      <c r="E53" s="71"/>
      <c r="F53" s="71"/>
      <c r="G53" s="71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2" t="s">
        <v>7</v>
      </c>
      <c r="B2" s="83"/>
    </row>
    <row r="3" spans="1:11" ht="18.5" x14ac:dyDescent="0.45">
      <c r="A3" s="83" t="s">
        <v>15</v>
      </c>
      <c r="B3" s="83"/>
    </row>
    <row r="4" spans="1:11" ht="18.5" x14ac:dyDescent="0.45">
      <c r="A4" s="83" t="s">
        <v>16</v>
      </c>
      <c r="B4" s="85">
        <f ca="1">+'Frutas_Lo Valledor'!$B$4</f>
        <v>46226</v>
      </c>
    </row>
    <row r="5" spans="1:11" ht="18.5" x14ac:dyDescent="0.45">
      <c r="A5" s="83" t="s">
        <v>49</v>
      </c>
      <c r="B5" s="83"/>
    </row>
    <row r="6" spans="1:11" ht="18.5" x14ac:dyDescent="0.45">
      <c r="A6" s="83"/>
      <c r="B6" s="83"/>
    </row>
    <row r="7" spans="1:11" ht="18.5" x14ac:dyDescent="0.3">
      <c r="A7" s="86" t="s">
        <v>17</v>
      </c>
      <c r="B7" s="89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11" s="27" customFormat="1" ht="14.5" x14ac:dyDescent="0.35">
      <c r="A10" s="122" t="s">
        <v>75</v>
      </c>
      <c r="B10" s="122" t="s">
        <v>78</v>
      </c>
      <c r="C10" s="122" t="s">
        <v>203</v>
      </c>
      <c r="D10" s="125">
        <v>250</v>
      </c>
      <c r="E10" s="125">
        <v>16000</v>
      </c>
      <c r="F10" s="125">
        <v>15000</v>
      </c>
      <c r="G10" s="125">
        <v>15500</v>
      </c>
      <c r="H10" s="122" t="s">
        <v>177</v>
      </c>
      <c r="I10" s="122" t="s">
        <v>87</v>
      </c>
    </row>
    <row r="11" spans="1:11" s="27" customFormat="1" ht="14.5" x14ac:dyDescent="0.35">
      <c r="A11" s="117" t="s">
        <v>75</v>
      </c>
      <c r="B11" s="117" t="s">
        <v>78</v>
      </c>
      <c r="C11" s="118" t="s">
        <v>203</v>
      </c>
      <c r="D11" s="126">
        <v>220</v>
      </c>
      <c r="E11" s="126">
        <v>18000</v>
      </c>
      <c r="F11" s="126">
        <v>17000</v>
      </c>
      <c r="G11" s="126">
        <v>17500</v>
      </c>
      <c r="H11" s="117" t="s">
        <v>177</v>
      </c>
      <c r="I11" s="117" t="s">
        <v>63</v>
      </c>
    </row>
    <row r="12" spans="1:11" s="27" customFormat="1" ht="14.5" x14ac:dyDescent="0.35">
      <c r="A12" s="117" t="s">
        <v>75</v>
      </c>
      <c r="B12" s="117" t="s">
        <v>78</v>
      </c>
      <c r="C12" s="118" t="s">
        <v>66</v>
      </c>
      <c r="D12" s="126">
        <v>200</v>
      </c>
      <c r="E12" s="126">
        <v>14000</v>
      </c>
      <c r="F12" s="126">
        <v>13000</v>
      </c>
      <c r="G12" s="126">
        <v>13500</v>
      </c>
      <c r="H12" s="117" t="s">
        <v>177</v>
      </c>
      <c r="I12" s="117" t="s">
        <v>87</v>
      </c>
    </row>
    <row r="13" spans="1:11" s="27" customFormat="1" ht="14.5" x14ac:dyDescent="0.35">
      <c r="A13" s="117" t="s">
        <v>75</v>
      </c>
      <c r="B13" s="117" t="s">
        <v>78</v>
      </c>
      <c r="C13" s="118" t="s">
        <v>66</v>
      </c>
      <c r="D13" s="126">
        <v>300</v>
      </c>
      <c r="E13" s="126">
        <v>16000</v>
      </c>
      <c r="F13" s="126">
        <v>15000</v>
      </c>
      <c r="G13" s="126">
        <v>15500</v>
      </c>
      <c r="H13" s="117" t="s">
        <v>177</v>
      </c>
      <c r="I13" s="117" t="s">
        <v>63</v>
      </c>
    </row>
    <row r="14" spans="1:11" s="27" customFormat="1" ht="14.5" x14ac:dyDescent="0.35">
      <c r="A14" s="117" t="s">
        <v>75</v>
      </c>
      <c r="B14" s="117" t="s">
        <v>78</v>
      </c>
      <c r="C14" s="118" t="s">
        <v>57</v>
      </c>
      <c r="D14" s="126">
        <v>150</v>
      </c>
      <c r="E14" s="126">
        <v>12000</v>
      </c>
      <c r="F14" s="126">
        <v>11000</v>
      </c>
      <c r="G14" s="126">
        <v>11500</v>
      </c>
      <c r="H14" s="117" t="s">
        <v>177</v>
      </c>
      <c r="I14" s="117" t="s">
        <v>87</v>
      </c>
    </row>
    <row r="15" spans="1:11" s="27" customFormat="1" ht="14.5" x14ac:dyDescent="0.35">
      <c r="A15" s="117" t="s">
        <v>75</v>
      </c>
      <c r="B15" s="117" t="s">
        <v>78</v>
      </c>
      <c r="C15" s="118" t="s">
        <v>57</v>
      </c>
      <c r="D15" s="126">
        <v>150</v>
      </c>
      <c r="E15" s="126">
        <v>13000</v>
      </c>
      <c r="F15" s="126">
        <v>12000</v>
      </c>
      <c r="G15" s="126">
        <v>12500</v>
      </c>
      <c r="H15" s="117" t="s">
        <v>177</v>
      </c>
      <c r="I15" s="117" t="s">
        <v>63</v>
      </c>
    </row>
    <row r="16" spans="1:11" s="27" customFormat="1" ht="14.5" x14ac:dyDescent="0.35">
      <c r="A16" s="117" t="s">
        <v>75</v>
      </c>
      <c r="B16" s="117" t="s">
        <v>78</v>
      </c>
      <c r="C16" s="118" t="s">
        <v>68</v>
      </c>
      <c r="D16" s="126">
        <v>100</v>
      </c>
      <c r="E16" s="126">
        <v>10000</v>
      </c>
      <c r="F16" s="126">
        <v>8000</v>
      </c>
      <c r="G16" s="126">
        <v>9000</v>
      </c>
      <c r="H16" s="117" t="s">
        <v>177</v>
      </c>
      <c r="I16" s="117" t="s">
        <v>87</v>
      </c>
    </row>
    <row r="17" spans="1:9" s="27" customFormat="1" ht="15" thickBot="1" x14ac:dyDescent="0.4">
      <c r="A17" s="123" t="s">
        <v>75</v>
      </c>
      <c r="B17" s="123" t="s">
        <v>78</v>
      </c>
      <c r="C17" s="124" t="s">
        <v>68</v>
      </c>
      <c r="D17" s="127">
        <v>100</v>
      </c>
      <c r="E17" s="127">
        <v>10000</v>
      </c>
      <c r="F17" s="127">
        <v>9000</v>
      </c>
      <c r="G17" s="127">
        <v>9500</v>
      </c>
      <c r="H17" s="123" t="s">
        <v>177</v>
      </c>
      <c r="I17" s="123" t="s">
        <v>63</v>
      </c>
    </row>
    <row r="18" spans="1:9" s="27" customFormat="1" ht="14.5" x14ac:dyDescent="0.35">
      <c r="A18" s="128" t="s">
        <v>310</v>
      </c>
      <c r="B18" s="77"/>
      <c r="C18" s="114"/>
      <c r="D18" s="77"/>
      <c r="E18" s="77"/>
      <c r="F18" s="77"/>
      <c r="G18" s="77"/>
      <c r="H18" s="77"/>
      <c r="I18" s="77"/>
    </row>
    <row r="19" spans="1:9" s="27" customFormat="1" ht="14.5" x14ac:dyDescent="0.35">
      <c r="C19" s="69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29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132</v>
      </c>
      <c r="B10" s="122" t="s">
        <v>133</v>
      </c>
      <c r="C10" s="122" t="s">
        <v>66</v>
      </c>
      <c r="D10" s="125">
        <v>200</v>
      </c>
      <c r="E10" s="125">
        <v>18000</v>
      </c>
      <c r="F10" s="125">
        <v>18000</v>
      </c>
      <c r="G10" s="125">
        <v>18000</v>
      </c>
      <c r="H10" s="122" t="s">
        <v>134</v>
      </c>
      <c r="I10" s="122" t="s">
        <v>135</v>
      </c>
    </row>
    <row r="11" spans="1:9" x14ac:dyDescent="0.35">
      <c r="A11" s="117" t="s">
        <v>137</v>
      </c>
      <c r="B11" s="117" t="s">
        <v>138</v>
      </c>
      <c r="C11" s="117" t="s">
        <v>57</v>
      </c>
      <c r="D11" s="126">
        <v>300</v>
      </c>
      <c r="E11" s="126">
        <v>16000</v>
      </c>
      <c r="F11" s="126">
        <v>16000</v>
      </c>
      <c r="G11" s="126">
        <v>16000</v>
      </c>
      <c r="H11" s="117" t="s">
        <v>139</v>
      </c>
      <c r="I11" s="117" t="s">
        <v>215</v>
      </c>
    </row>
    <row r="12" spans="1:9" x14ac:dyDescent="0.35">
      <c r="A12" s="117" t="s">
        <v>141</v>
      </c>
      <c r="B12" s="117" t="s">
        <v>65</v>
      </c>
      <c r="C12" s="117" t="s">
        <v>66</v>
      </c>
      <c r="D12" s="126">
        <v>3000</v>
      </c>
      <c r="E12" s="126">
        <v>1100</v>
      </c>
      <c r="F12" s="126">
        <v>1100</v>
      </c>
      <c r="G12" s="126">
        <v>1100</v>
      </c>
      <c r="H12" s="117" t="s">
        <v>197</v>
      </c>
      <c r="I12" s="117" t="s">
        <v>167</v>
      </c>
    </row>
    <row r="13" spans="1:9" x14ac:dyDescent="0.35">
      <c r="A13" s="117" t="s">
        <v>64</v>
      </c>
      <c r="B13" s="117" t="s">
        <v>65</v>
      </c>
      <c r="C13" s="117" t="s">
        <v>66</v>
      </c>
      <c r="D13" s="126">
        <v>5000</v>
      </c>
      <c r="E13" s="126">
        <v>800</v>
      </c>
      <c r="F13" s="126">
        <v>800</v>
      </c>
      <c r="G13" s="126">
        <v>800</v>
      </c>
      <c r="H13" s="117" t="s">
        <v>67</v>
      </c>
      <c r="I13" s="117" t="s">
        <v>167</v>
      </c>
    </row>
    <row r="14" spans="1:9" x14ac:dyDescent="0.35">
      <c r="A14" s="117" t="s">
        <v>144</v>
      </c>
      <c r="B14" s="117" t="s">
        <v>65</v>
      </c>
      <c r="C14" s="117" t="s">
        <v>146</v>
      </c>
      <c r="D14" s="126">
        <v>1500</v>
      </c>
      <c r="E14" s="126">
        <v>5500</v>
      </c>
      <c r="F14" s="126">
        <v>5500</v>
      </c>
      <c r="G14" s="126">
        <v>5500</v>
      </c>
      <c r="H14" s="117" t="s">
        <v>148</v>
      </c>
      <c r="I14" s="117" t="s">
        <v>167</v>
      </c>
    </row>
    <row r="15" spans="1:9" x14ac:dyDescent="0.35">
      <c r="A15" s="117" t="s">
        <v>144</v>
      </c>
      <c r="B15" s="117" t="s">
        <v>65</v>
      </c>
      <c r="C15" s="117" t="s">
        <v>146</v>
      </c>
      <c r="D15" s="126">
        <v>2000</v>
      </c>
      <c r="E15" s="126">
        <v>8000</v>
      </c>
      <c r="F15" s="126">
        <v>8000</v>
      </c>
      <c r="G15" s="126">
        <v>8000</v>
      </c>
      <c r="H15" s="117" t="s">
        <v>175</v>
      </c>
      <c r="I15" s="117" t="s">
        <v>167</v>
      </c>
    </row>
    <row r="16" spans="1:9" x14ac:dyDescent="0.35">
      <c r="A16" s="117" t="s">
        <v>154</v>
      </c>
      <c r="B16" s="117" t="s">
        <v>65</v>
      </c>
      <c r="C16" s="117" t="s">
        <v>66</v>
      </c>
      <c r="D16" s="126">
        <v>3000</v>
      </c>
      <c r="E16" s="126">
        <v>1000</v>
      </c>
      <c r="F16" s="126">
        <v>1000</v>
      </c>
      <c r="G16" s="126">
        <v>1000</v>
      </c>
      <c r="H16" s="117" t="s">
        <v>67</v>
      </c>
      <c r="I16" s="117" t="s">
        <v>167</v>
      </c>
    </row>
    <row r="17" spans="1:9" x14ac:dyDescent="0.35">
      <c r="A17" s="117" t="s">
        <v>69</v>
      </c>
      <c r="B17" s="117" t="s">
        <v>157</v>
      </c>
      <c r="C17" s="117" t="s">
        <v>57</v>
      </c>
      <c r="D17" s="126">
        <v>300</v>
      </c>
      <c r="E17" s="126">
        <v>7000</v>
      </c>
      <c r="F17" s="126">
        <v>7000</v>
      </c>
      <c r="G17" s="126">
        <v>7000</v>
      </c>
      <c r="H17" s="117" t="s">
        <v>71</v>
      </c>
      <c r="I17" s="117" t="s">
        <v>167</v>
      </c>
    </row>
    <row r="18" spans="1:9" x14ac:dyDescent="0.35">
      <c r="A18" s="117" t="s">
        <v>69</v>
      </c>
      <c r="B18" s="117" t="s">
        <v>70</v>
      </c>
      <c r="C18" s="117" t="s">
        <v>66</v>
      </c>
      <c r="D18" s="126">
        <v>500</v>
      </c>
      <c r="E18" s="126">
        <v>16000</v>
      </c>
      <c r="F18" s="126">
        <v>16000</v>
      </c>
      <c r="G18" s="126">
        <v>16000</v>
      </c>
      <c r="H18" s="117" t="s">
        <v>159</v>
      </c>
      <c r="I18" s="117" t="s">
        <v>215</v>
      </c>
    </row>
    <row r="19" spans="1:9" x14ac:dyDescent="0.35">
      <c r="A19" s="117" t="s">
        <v>69</v>
      </c>
      <c r="B19" s="117" t="s">
        <v>133</v>
      </c>
      <c r="C19" s="117" t="s">
        <v>66</v>
      </c>
      <c r="D19" s="126">
        <v>300</v>
      </c>
      <c r="E19" s="126">
        <v>7000</v>
      </c>
      <c r="F19" s="126">
        <v>7000</v>
      </c>
      <c r="G19" s="126">
        <v>7000</v>
      </c>
      <c r="H19" s="117" t="s">
        <v>71</v>
      </c>
      <c r="I19" s="117" t="s">
        <v>167</v>
      </c>
    </row>
    <row r="20" spans="1:9" x14ac:dyDescent="0.35">
      <c r="A20" s="117" t="s">
        <v>69</v>
      </c>
      <c r="B20" s="117" t="s">
        <v>216</v>
      </c>
      <c r="C20" s="117" t="s">
        <v>66</v>
      </c>
      <c r="D20" s="126">
        <v>300</v>
      </c>
      <c r="E20" s="126">
        <v>7000</v>
      </c>
      <c r="F20" s="126">
        <v>7000</v>
      </c>
      <c r="G20" s="126">
        <v>7000</v>
      </c>
      <c r="H20" s="117" t="s">
        <v>71</v>
      </c>
      <c r="I20" s="117" t="s">
        <v>167</v>
      </c>
    </row>
    <row r="21" spans="1:9" x14ac:dyDescent="0.35">
      <c r="A21" s="117" t="s">
        <v>160</v>
      </c>
      <c r="B21" s="117" t="s">
        <v>161</v>
      </c>
      <c r="C21" s="117" t="s">
        <v>217</v>
      </c>
      <c r="D21" s="126">
        <v>1500</v>
      </c>
      <c r="E21" s="126">
        <v>15000</v>
      </c>
      <c r="F21" s="126">
        <v>15000</v>
      </c>
      <c r="G21" s="126">
        <v>15000</v>
      </c>
      <c r="H21" s="117" t="s">
        <v>175</v>
      </c>
      <c r="I21" s="117" t="s">
        <v>167</v>
      </c>
    </row>
    <row r="22" spans="1:9" x14ac:dyDescent="0.35">
      <c r="A22" s="117" t="s">
        <v>160</v>
      </c>
      <c r="B22" s="117" t="s">
        <v>218</v>
      </c>
      <c r="C22" s="117" t="s">
        <v>166</v>
      </c>
      <c r="D22" s="126">
        <v>1500</v>
      </c>
      <c r="E22" s="126">
        <v>14000</v>
      </c>
      <c r="F22" s="126">
        <v>14000</v>
      </c>
      <c r="G22" s="126">
        <v>14000</v>
      </c>
      <c r="H22" s="117" t="s">
        <v>162</v>
      </c>
      <c r="I22" s="117" t="s">
        <v>167</v>
      </c>
    </row>
    <row r="23" spans="1:9" x14ac:dyDescent="0.35">
      <c r="A23" s="117" t="s">
        <v>168</v>
      </c>
      <c r="B23" s="117" t="s">
        <v>65</v>
      </c>
      <c r="C23" s="117" t="s">
        <v>66</v>
      </c>
      <c r="D23" s="126">
        <v>300</v>
      </c>
      <c r="E23" s="126">
        <v>16000</v>
      </c>
      <c r="F23" s="126">
        <v>16000</v>
      </c>
      <c r="G23" s="126">
        <v>16000</v>
      </c>
      <c r="H23" s="117" t="s">
        <v>219</v>
      </c>
      <c r="I23" s="117" t="s">
        <v>63</v>
      </c>
    </row>
    <row r="24" spans="1:9" x14ac:dyDescent="0.35">
      <c r="A24" s="117" t="s">
        <v>171</v>
      </c>
      <c r="B24" s="117" t="s">
        <v>202</v>
      </c>
      <c r="C24" s="117" t="s">
        <v>66</v>
      </c>
      <c r="D24" s="126">
        <v>200</v>
      </c>
      <c r="E24" s="126">
        <v>16000</v>
      </c>
      <c r="F24" s="126">
        <v>16000</v>
      </c>
      <c r="G24" s="126">
        <v>16000</v>
      </c>
      <c r="H24" s="117" t="s">
        <v>121</v>
      </c>
      <c r="I24" s="117" t="s">
        <v>135</v>
      </c>
    </row>
    <row r="25" spans="1:9" x14ac:dyDescent="0.35">
      <c r="A25" s="117" t="s">
        <v>171</v>
      </c>
      <c r="B25" s="117" t="s">
        <v>172</v>
      </c>
      <c r="C25" s="117" t="s">
        <v>66</v>
      </c>
      <c r="D25" s="126">
        <v>300</v>
      </c>
      <c r="E25" s="126">
        <v>15000</v>
      </c>
      <c r="F25" s="126">
        <v>15000</v>
      </c>
      <c r="G25" s="126">
        <v>15000</v>
      </c>
      <c r="H25" s="117" t="s">
        <v>62</v>
      </c>
      <c r="I25" s="117" t="s">
        <v>63</v>
      </c>
    </row>
    <row r="26" spans="1:9" x14ac:dyDescent="0.35">
      <c r="A26" s="117" t="s">
        <v>171</v>
      </c>
      <c r="B26" s="117" t="s">
        <v>173</v>
      </c>
      <c r="C26" s="117" t="s">
        <v>66</v>
      </c>
      <c r="D26" s="126">
        <v>300</v>
      </c>
      <c r="E26" s="126">
        <v>15000</v>
      </c>
      <c r="F26" s="126">
        <v>15000</v>
      </c>
      <c r="G26" s="126">
        <v>15000</v>
      </c>
      <c r="H26" s="117" t="s">
        <v>62</v>
      </c>
      <c r="I26" s="117" t="s">
        <v>63</v>
      </c>
    </row>
    <row r="27" spans="1:9" x14ac:dyDescent="0.35">
      <c r="A27" s="117" t="s">
        <v>73</v>
      </c>
      <c r="B27" s="117" t="s">
        <v>176</v>
      </c>
      <c r="C27" s="117" t="s">
        <v>66</v>
      </c>
      <c r="D27" s="126">
        <v>3000</v>
      </c>
      <c r="E27" s="126">
        <v>1700</v>
      </c>
      <c r="F27" s="126">
        <v>1700</v>
      </c>
      <c r="G27" s="126">
        <v>1700</v>
      </c>
      <c r="H27" s="117" t="s">
        <v>67</v>
      </c>
      <c r="I27" s="117" t="s">
        <v>167</v>
      </c>
    </row>
    <row r="28" spans="1:9" x14ac:dyDescent="0.35">
      <c r="A28" s="117" t="s">
        <v>75</v>
      </c>
      <c r="B28" s="117" t="s">
        <v>78</v>
      </c>
      <c r="C28" s="117" t="s">
        <v>66</v>
      </c>
      <c r="D28" s="126">
        <v>2500</v>
      </c>
      <c r="E28" s="126">
        <v>16000</v>
      </c>
      <c r="F28" s="126">
        <v>16000</v>
      </c>
      <c r="G28" s="126">
        <v>16000</v>
      </c>
      <c r="H28" s="117" t="s">
        <v>177</v>
      </c>
      <c r="I28" s="117" t="s">
        <v>63</v>
      </c>
    </row>
    <row r="29" spans="1:9" x14ac:dyDescent="0.35">
      <c r="A29" s="117" t="s">
        <v>178</v>
      </c>
      <c r="B29" s="117" t="s">
        <v>65</v>
      </c>
      <c r="C29" s="117" t="s">
        <v>66</v>
      </c>
      <c r="D29" s="126">
        <v>400</v>
      </c>
      <c r="E29" s="126">
        <v>14000</v>
      </c>
      <c r="F29" s="126">
        <v>14000</v>
      </c>
      <c r="G29" s="126">
        <v>14000</v>
      </c>
      <c r="H29" s="117" t="s">
        <v>179</v>
      </c>
      <c r="I29" s="117" t="s">
        <v>163</v>
      </c>
    </row>
    <row r="30" spans="1:9" x14ac:dyDescent="0.35">
      <c r="A30" s="117" t="s">
        <v>181</v>
      </c>
      <c r="B30" s="117" t="s">
        <v>182</v>
      </c>
      <c r="C30" s="117" t="s">
        <v>146</v>
      </c>
      <c r="D30" s="126">
        <v>500</v>
      </c>
      <c r="E30" s="126">
        <v>1500</v>
      </c>
      <c r="F30" s="126">
        <v>1500</v>
      </c>
      <c r="G30" s="126">
        <v>1500</v>
      </c>
      <c r="H30" s="117" t="s">
        <v>183</v>
      </c>
      <c r="I30" s="117" t="s">
        <v>167</v>
      </c>
    </row>
    <row r="31" spans="1:9" x14ac:dyDescent="0.35">
      <c r="A31" s="117" t="s">
        <v>181</v>
      </c>
      <c r="B31" s="117" t="s">
        <v>186</v>
      </c>
      <c r="C31" s="117" t="s">
        <v>146</v>
      </c>
      <c r="D31" s="126">
        <v>1500</v>
      </c>
      <c r="E31" s="126">
        <v>600</v>
      </c>
      <c r="F31" s="126">
        <v>600</v>
      </c>
      <c r="G31" s="126">
        <v>600</v>
      </c>
      <c r="H31" s="117" t="s">
        <v>183</v>
      </c>
      <c r="I31" s="117" t="s">
        <v>167</v>
      </c>
    </row>
    <row r="32" spans="1:9" ht="15" thickBot="1" x14ac:dyDescent="0.4">
      <c r="A32" s="123" t="s">
        <v>187</v>
      </c>
      <c r="B32" s="123" t="s">
        <v>65</v>
      </c>
      <c r="C32" s="123" t="s">
        <v>66</v>
      </c>
      <c r="D32" s="127">
        <v>300</v>
      </c>
      <c r="E32" s="127">
        <v>17000</v>
      </c>
      <c r="F32" s="127">
        <v>17000</v>
      </c>
      <c r="G32" s="127">
        <v>17000</v>
      </c>
      <c r="H32" s="123" t="s">
        <v>188</v>
      </c>
      <c r="I32" s="123" t="s">
        <v>63</v>
      </c>
    </row>
    <row r="33" spans="1:9" x14ac:dyDescent="0.35">
      <c r="A33" s="128" t="s">
        <v>310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2" t="s">
        <v>7</v>
      </c>
      <c r="B2" s="83"/>
      <c r="D2" s="62"/>
      <c r="E2" s="62"/>
      <c r="F2" s="62"/>
      <c r="G2" s="62"/>
    </row>
    <row r="3" spans="1:9" ht="18.5" x14ac:dyDescent="0.45">
      <c r="A3" s="83" t="s">
        <v>15</v>
      </c>
      <c r="B3" s="83"/>
      <c r="D3" s="62"/>
      <c r="E3" s="62"/>
      <c r="F3" s="62"/>
      <c r="G3" s="62"/>
    </row>
    <row r="4" spans="1:9" ht="18.5" x14ac:dyDescent="0.45">
      <c r="A4" s="83" t="s">
        <v>16</v>
      </c>
      <c r="B4" s="85">
        <f ca="1">+'Frutas_Lo Valledor'!$B$4</f>
        <v>46226</v>
      </c>
      <c r="D4" s="62"/>
      <c r="E4" s="62"/>
      <c r="F4" s="62"/>
      <c r="G4" s="62"/>
    </row>
    <row r="5" spans="1:9" ht="18.5" x14ac:dyDescent="0.45">
      <c r="A5" s="83" t="s">
        <v>49</v>
      </c>
      <c r="B5" s="83"/>
      <c r="D5" s="62"/>
      <c r="E5" s="62"/>
      <c r="F5" s="62"/>
      <c r="G5" s="62"/>
    </row>
    <row r="6" spans="1:9" ht="18.5" x14ac:dyDescent="0.45">
      <c r="A6" s="83"/>
      <c r="B6" s="83"/>
      <c r="D6" s="62"/>
      <c r="E6" s="62"/>
      <c r="F6" s="62"/>
      <c r="G6" s="62"/>
    </row>
    <row r="7" spans="1:9" ht="18.5" x14ac:dyDescent="0.3">
      <c r="A7" s="86" t="s">
        <v>32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127</v>
      </c>
      <c r="B10" s="122" t="s">
        <v>65</v>
      </c>
      <c r="C10" s="122" t="s">
        <v>66</v>
      </c>
      <c r="D10" s="125">
        <v>105</v>
      </c>
      <c r="E10" s="125">
        <v>6000</v>
      </c>
      <c r="F10" s="125">
        <v>5500</v>
      </c>
      <c r="G10" s="125">
        <v>5810</v>
      </c>
      <c r="H10" s="122" t="s">
        <v>128</v>
      </c>
      <c r="I10" s="122" t="s">
        <v>87</v>
      </c>
    </row>
    <row r="11" spans="1:9" s="27" customFormat="1" ht="14.5" x14ac:dyDescent="0.35">
      <c r="A11" s="117" t="s">
        <v>129</v>
      </c>
      <c r="B11" s="117" t="s">
        <v>130</v>
      </c>
      <c r="C11" s="118" t="s">
        <v>66</v>
      </c>
      <c r="D11" s="126">
        <v>40</v>
      </c>
      <c r="E11" s="126">
        <v>14000</v>
      </c>
      <c r="F11" s="126">
        <v>14000</v>
      </c>
      <c r="G11" s="126">
        <v>14000</v>
      </c>
      <c r="H11" s="117" t="s">
        <v>77</v>
      </c>
      <c r="I11" s="117" t="s">
        <v>131</v>
      </c>
    </row>
    <row r="12" spans="1:9" s="27" customFormat="1" ht="14.5" x14ac:dyDescent="0.35">
      <c r="A12" s="117" t="s">
        <v>129</v>
      </c>
      <c r="B12" s="117" t="s">
        <v>130</v>
      </c>
      <c r="C12" s="118" t="s">
        <v>66</v>
      </c>
      <c r="D12" s="126">
        <v>78</v>
      </c>
      <c r="E12" s="126">
        <v>17500</v>
      </c>
      <c r="F12" s="126">
        <v>17000</v>
      </c>
      <c r="G12" s="126">
        <v>17256</v>
      </c>
      <c r="H12" s="117" t="s">
        <v>107</v>
      </c>
      <c r="I12" s="117" t="s">
        <v>131</v>
      </c>
    </row>
    <row r="13" spans="1:9" s="27" customFormat="1" ht="14.5" x14ac:dyDescent="0.35">
      <c r="A13" s="117" t="s">
        <v>60</v>
      </c>
      <c r="B13" s="117" t="s">
        <v>61</v>
      </c>
      <c r="C13" s="118" t="s">
        <v>66</v>
      </c>
      <c r="D13" s="126">
        <v>40</v>
      </c>
      <c r="E13" s="126">
        <v>28000</v>
      </c>
      <c r="F13" s="126">
        <v>28000</v>
      </c>
      <c r="G13" s="126">
        <v>28000</v>
      </c>
      <c r="H13" s="117" t="s">
        <v>77</v>
      </c>
      <c r="I13" s="117" t="s">
        <v>63</v>
      </c>
    </row>
    <row r="14" spans="1:9" s="27" customFormat="1" ht="14.5" x14ac:dyDescent="0.35">
      <c r="A14" s="117" t="s">
        <v>132</v>
      </c>
      <c r="B14" s="117" t="s">
        <v>133</v>
      </c>
      <c r="C14" s="118" t="s">
        <v>66</v>
      </c>
      <c r="D14" s="126">
        <v>45</v>
      </c>
      <c r="E14" s="126">
        <v>15000</v>
      </c>
      <c r="F14" s="126">
        <v>15000</v>
      </c>
      <c r="G14" s="126">
        <v>15000</v>
      </c>
      <c r="H14" s="117" t="s">
        <v>134</v>
      </c>
      <c r="I14" s="117" t="s">
        <v>135</v>
      </c>
    </row>
    <row r="15" spans="1:9" s="27" customFormat="1" ht="14.5" x14ac:dyDescent="0.35">
      <c r="A15" s="117" t="s">
        <v>132</v>
      </c>
      <c r="B15" s="117" t="s">
        <v>133</v>
      </c>
      <c r="C15" s="118" t="s">
        <v>57</v>
      </c>
      <c r="D15" s="126">
        <v>45</v>
      </c>
      <c r="E15" s="126">
        <v>10000</v>
      </c>
      <c r="F15" s="126">
        <v>10000</v>
      </c>
      <c r="G15" s="126">
        <v>10000</v>
      </c>
      <c r="H15" s="117" t="s">
        <v>136</v>
      </c>
      <c r="I15" s="117" t="s">
        <v>135</v>
      </c>
    </row>
    <row r="16" spans="1:9" s="27" customFormat="1" ht="14.5" x14ac:dyDescent="0.35">
      <c r="A16" s="117" t="s">
        <v>137</v>
      </c>
      <c r="B16" s="117" t="s">
        <v>138</v>
      </c>
      <c r="C16" s="118" t="s">
        <v>66</v>
      </c>
      <c r="D16" s="126">
        <v>80</v>
      </c>
      <c r="E16" s="126">
        <v>20000</v>
      </c>
      <c r="F16" s="126">
        <v>20000</v>
      </c>
      <c r="G16" s="126">
        <v>20000</v>
      </c>
      <c r="H16" s="117" t="s">
        <v>139</v>
      </c>
      <c r="I16" s="117" t="s">
        <v>135</v>
      </c>
    </row>
    <row r="17" spans="1:9" s="27" customFormat="1" ht="14.5" x14ac:dyDescent="0.35">
      <c r="A17" s="117" t="s">
        <v>140</v>
      </c>
      <c r="B17" s="117" t="s">
        <v>65</v>
      </c>
      <c r="C17" s="118" t="s">
        <v>66</v>
      </c>
      <c r="D17" s="126">
        <v>40</v>
      </c>
      <c r="E17" s="126">
        <v>11000</v>
      </c>
      <c r="F17" s="126">
        <v>11000</v>
      </c>
      <c r="G17" s="126">
        <v>11000</v>
      </c>
      <c r="H17" s="117" t="s">
        <v>136</v>
      </c>
      <c r="I17" s="117" t="s">
        <v>63</v>
      </c>
    </row>
    <row r="18" spans="1:9" s="27" customFormat="1" ht="14.5" x14ac:dyDescent="0.35">
      <c r="A18" s="117" t="s">
        <v>141</v>
      </c>
      <c r="B18" s="117" t="s">
        <v>65</v>
      </c>
      <c r="C18" s="118" t="s">
        <v>66</v>
      </c>
      <c r="D18" s="126">
        <v>2100</v>
      </c>
      <c r="E18" s="126">
        <v>950</v>
      </c>
      <c r="F18" s="126">
        <v>900</v>
      </c>
      <c r="G18" s="126">
        <v>921</v>
      </c>
      <c r="H18" s="117" t="s">
        <v>142</v>
      </c>
      <c r="I18" s="117" t="s">
        <v>87</v>
      </c>
    </row>
    <row r="19" spans="1:9" s="27" customFormat="1" ht="14.5" x14ac:dyDescent="0.35">
      <c r="A19" s="117" t="s">
        <v>141</v>
      </c>
      <c r="B19" s="117" t="s">
        <v>65</v>
      </c>
      <c r="C19" s="118" t="s">
        <v>57</v>
      </c>
      <c r="D19" s="126">
        <v>2100</v>
      </c>
      <c r="E19" s="126">
        <v>750</v>
      </c>
      <c r="F19" s="126">
        <v>700</v>
      </c>
      <c r="G19" s="126">
        <v>721</v>
      </c>
      <c r="H19" s="117" t="s">
        <v>142</v>
      </c>
      <c r="I19" s="117" t="s">
        <v>87</v>
      </c>
    </row>
    <row r="20" spans="1:9" s="27" customFormat="1" ht="14.5" x14ac:dyDescent="0.35">
      <c r="A20" s="117" t="s">
        <v>64</v>
      </c>
      <c r="B20" s="117" t="s">
        <v>65</v>
      </c>
      <c r="C20" s="118" t="s">
        <v>66</v>
      </c>
      <c r="D20" s="126">
        <v>850</v>
      </c>
      <c r="E20" s="126">
        <v>1000</v>
      </c>
      <c r="F20" s="126">
        <v>1000</v>
      </c>
      <c r="G20" s="126">
        <v>1000</v>
      </c>
      <c r="H20" s="117" t="s">
        <v>67</v>
      </c>
      <c r="I20" s="117" t="s">
        <v>87</v>
      </c>
    </row>
    <row r="21" spans="1:9" s="27" customFormat="1" ht="14.5" x14ac:dyDescent="0.35">
      <c r="A21" s="117" t="s">
        <v>64</v>
      </c>
      <c r="B21" s="117" t="s">
        <v>65</v>
      </c>
      <c r="C21" s="118" t="s">
        <v>66</v>
      </c>
      <c r="D21" s="126">
        <v>1850</v>
      </c>
      <c r="E21" s="126">
        <v>1100</v>
      </c>
      <c r="F21" s="126">
        <v>1000</v>
      </c>
      <c r="G21" s="126">
        <v>1051</v>
      </c>
      <c r="H21" s="117" t="s">
        <v>67</v>
      </c>
      <c r="I21" s="117" t="s">
        <v>143</v>
      </c>
    </row>
    <row r="22" spans="1:9" s="27" customFormat="1" ht="14.5" x14ac:dyDescent="0.35">
      <c r="A22" s="117" t="s">
        <v>64</v>
      </c>
      <c r="B22" s="117" t="s">
        <v>65</v>
      </c>
      <c r="C22" s="118" t="s">
        <v>57</v>
      </c>
      <c r="D22" s="126">
        <v>900</v>
      </c>
      <c r="E22" s="126">
        <v>750</v>
      </c>
      <c r="F22" s="126">
        <v>750</v>
      </c>
      <c r="G22" s="126">
        <v>750</v>
      </c>
      <c r="H22" s="117" t="s">
        <v>67</v>
      </c>
      <c r="I22" s="117" t="s">
        <v>87</v>
      </c>
    </row>
    <row r="23" spans="1:9" s="27" customFormat="1" ht="14.5" x14ac:dyDescent="0.35">
      <c r="A23" s="117" t="s">
        <v>64</v>
      </c>
      <c r="B23" s="117" t="s">
        <v>65</v>
      </c>
      <c r="C23" s="118" t="s">
        <v>57</v>
      </c>
      <c r="D23" s="126">
        <v>900</v>
      </c>
      <c r="E23" s="126">
        <v>800</v>
      </c>
      <c r="F23" s="126">
        <v>800</v>
      </c>
      <c r="G23" s="126">
        <v>800</v>
      </c>
      <c r="H23" s="117" t="s">
        <v>67</v>
      </c>
      <c r="I23" s="117" t="s">
        <v>143</v>
      </c>
    </row>
    <row r="24" spans="1:9" s="27" customFormat="1" ht="14.5" x14ac:dyDescent="0.35">
      <c r="A24" s="117" t="s">
        <v>144</v>
      </c>
      <c r="B24" s="117" t="s">
        <v>145</v>
      </c>
      <c r="C24" s="118" t="s">
        <v>146</v>
      </c>
      <c r="D24" s="126">
        <v>60</v>
      </c>
      <c r="E24" s="126">
        <v>17000</v>
      </c>
      <c r="F24" s="126">
        <v>17000</v>
      </c>
      <c r="G24" s="126">
        <v>17000</v>
      </c>
      <c r="H24" s="117" t="s">
        <v>147</v>
      </c>
      <c r="I24" s="117" t="s">
        <v>99</v>
      </c>
    </row>
    <row r="25" spans="1:9" s="27" customFormat="1" ht="14.5" x14ac:dyDescent="0.35">
      <c r="A25" s="117" t="s">
        <v>144</v>
      </c>
      <c r="B25" s="117" t="s">
        <v>65</v>
      </c>
      <c r="C25" s="118" t="s">
        <v>146</v>
      </c>
      <c r="D25" s="126">
        <v>60</v>
      </c>
      <c r="E25" s="126">
        <v>7500</v>
      </c>
      <c r="F25" s="126">
        <v>7500</v>
      </c>
      <c r="G25" s="126">
        <v>7500</v>
      </c>
      <c r="H25" s="117" t="s">
        <v>148</v>
      </c>
      <c r="I25" s="117" t="s">
        <v>87</v>
      </c>
    </row>
    <row r="26" spans="1:9" s="27" customFormat="1" ht="14.5" x14ac:dyDescent="0.35">
      <c r="A26" s="117" t="s">
        <v>144</v>
      </c>
      <c r="B26" s="117" t="s">
        <v>65</v>
      </c>
      <c r="C26" s="118" t="s">
        <v>146</v>
      </c>
      <c r="D26" s="126">
        <v>120</v>
      </c>
      <c r="E26" s="126">
        <v>8500</v>
      </c>
      <c r="F26" s="126">
        <v>8000</v>
      </c>
      <c r="G26" s="126">
        <v>8292</v>
      </c>
      <c r="H26" s="117" t="s">
        <v>147</v>
      </c>
      <c r="I26" s="117" t="s">
        <v>149</v>
      </c>
    </row>
    <row r="27" spans="1:9" s="27" customFormat="1" ht="14.5" x14ac:dyDescent="0.35">
      <c r="A27" s="117" t="s">
        <v>150</v>
      </c>
      <c r="B27" s="117" t="s">
        <v>65</v>
      </c>
      <c r="C27" s="118" t="s">
        <v>66</v>
      </c>
      <c r="D27" s="126">
        <v>105</v>
      </c>
      <c r="E27" s="126">
        <v>7000</v>
      </c>
      <c r="F27" s="126">
        <v>6500</v>
      </c>
      <c r="G27" s="126">
        <v>6786</v>
      </c>
      <c r="H27" s="117" t="s">
        <v>151</v>
      </c>
      <c r="I27" s="117" t="s">
        <v>87</v>
      </c>
    </row>
    <row r="28" spans="1:9" s="27" customFormat="1" ht="14.5" x14ac:dyDescent="0.35">
      <c r="A28" s="117" t="s">
        <v>152</v>
      </c>
      <c r="B28" s="117" t="s">
        <v>65</v>
      </c>
      <c r="C28" s="118" t="s">
        <v>66</v>
      </c>
      <c r="D28" s="126">
        <v>85</v>
      </c>
      <c r="E28" s="126">
        <v>8500</v>
      </c>
      <c r="F28" s="126">
        <v>8000</v>
      </c>
      <c r="G28" s="126">
        <v>8235</v>
      </c>
      <c r="H28" s="117" t="s">
        <v>153</v>
      </c>
      <c r="I28" s="117" t="s">
        <v>87</v>
      </c>
    </row>
    <row r="29" spans="1:9" s="27" customFormat="1" ht="14.5" x14ac:dyDescent="0.35">
      <c r="A29" s="117" t="s">
        <v>154</v>
      </c>
      <c r="B29" s="117" t="s">
        <v>65</v>
      </c>
      <c r="C29" s="118" t="s">
        <v>66</v>
      </c>
      <c r="D29" s="126">
        <v>900</v>
      </c>
      <c r="E29" s="126">
        <v>1300</v>
      </c>
      <c r="F29" s="126">
        <v>1200</v>
      </c>
      <c r="G29" s="126">
        <v>1250</v>
      </c>
      <c r="H29" s="117" t="s">
        <v>67</v>
      </c>
      <c r="I29" s="117" t="s">
        <v>155</v>
      </c>
    </row>
    <row r="30" spans="1:9" s="27" customFormat="1" ht="14.5" x14ac:dyDescent="0.35">
      <c r="A30" s="117" t="s">
        <v>154</v>
      </c>
      <c r="B30" s="117" t="s">
        <v>65</v>
      </c>
      <c r="C30" s="118" t="s">
        <v>66</v>
      </c>
      <c r="D30" s="126">
        <v>650</v>
      </c>
      <c r="E30" s="126">
        <v>1300</v>
      </c>
      <c r="F30" s="126">
        <v>1300</v>
      </c>
      <c r="G30" s="126">
        <v>1300</v>
      </c>
      <c r="H30" s="117" t="s">
        <v>67</v>
      </c>
      <c r="I30" s="117" t="s">
        <v>149</v>
      </c>
    </row>
    <row r="31" spans="1:9" s="27" customFormat="1" ht="14.5" x14ac:dyDescent="0.35">
      <c r="A31" s="117" t="s">
        <v>154</v>
      </c>
      <c r="B31" s="117" t="s">
        <v>65</v>
      </c>
      <c r="C31" s="118" t="s">
        <v>57</v>
      </c>
      <c r="D31" s="126">
        <v>900</v>
      </c>
      <c r="E31" s="126">
        <v>900</v>
      </c>
      <c r="F31" s="126">
        <v>900</v>
      </c>
      <c r="G31" s="126">
        <v>900</v>
      </c>
      <c r="H31" s="117" t="s">
        <v>67</v>
      </c>
      <c r="I31" s="117" t="s">
        <v>87</v>
      </c>
    </row>
    <row r="32" spans="1:9" s="27" customFormat="1" ht="14.5" x14ac:dyDescent="0.35">
      <c r="A32" s="117" t="s">
        <v>156</v>
      </c>
      <c r="B32" s="117" t="s">
        <v>65</v>
      </c>
      <c r="C32" s="118" t="s">
        <v>66</v>
      </c>
      <c r="D32" s="126">
        <v>45</v>
      </c>
      <c r="E32" s="126">
        <v>7000</v>
      </c>
      <c r="F32" s="126">
        <v>7000</v>
      </c>
      <c r="G32" s="126">
        <v>7000</v>
      </c>
      <c r="H32" s="117" t="s">
        <v>153</v>
      </c>
      <c r="I32" s="117" t="s">
        <v>87</v>
      </c>
    </row>
    <row r="33" spans="1:9" s="27" customFormat="1" ht="14.5" x14ac:dyDescent="0.35">
      <c r="A33" s="117" t="s">
        <v>69</v>
      </c>
      <c r="B33" s="117" t="s">
        <v>157</v>
      </c>
      <c r="C33" s="118" t="s">
        <v>66</v>
      </c>
      <c r="D33" s="126">
        <v>85</v>
      </c>
      <c r="E33" s="126">
        <v>9000</v>
      </c>
      <c r="F33" s="126">
        <v>8500</v>
      </c>
      <c r="G33" s="126">
        <v>8765</v>
      </c>
      <c r="H33" s="117" t="s">
        <v>158</v>
      </c>
      <c r="I33" s="117" t="s">
        <v>87</v>
      </c>
    </row>
    <row r="34" spans="1:9" s="27" customFormat="1" ht="14.5" x14ac:dyDescent="0.35">
      <c r="A34" s="117" t="s">
        <v>69</v>
      </c>
      <c r="B34" s="117" t="s">
        <v>70</v>
      </c>
      <c r="C34" s="118" t="s">
        <v>66</v>
      </c>
      <c r="D34" s="126">
        <v>85</v>
      </c>
      <c r="E34" s="126">
        <v>15000</v>
      </c>
      <c r="F34" s="126">
        <v>14000</v>
      </c>
      <c r="G34" s="126">
        <v>14529</v>
      </c>
      <c r="H34" s="117" t="s">
        <v>159</v>
      </c>
      <c r="I34" s="117" t="s">
        <v>87</v>
      </c>
    </row>
    <row r="35" spans="1:9" s="27" customFormat="1" ht="14.5" x14ac:dyDescent="0.35">
      <c r="A35" s="117" t="s">
        <v>69</v>
      </c>
      <c r="B35" s="117" t="s">
        <v>70</v>
      </c>
      <c r="C35" s="118" t="s">
        <v>57</v>
      </c>
      <c r="D35" s="126">
        <v>40</v>
      </c>
      <c r="E35" s="126">
        <v>10000</v>
      </c>
      <c r="F35" s="126">
        <v>10000</v>
      </c>
      <c r="G35" s="126">
        <v>10000</v>
      </c>
      <c r="H35" s="117" t="s">
        <v>72</v>
      </c>
      <c r="I35" s="117" t="s">
        <v>87</v>
      </c>
    </row>
    <row r="36" spans="1:9" s="27" customFormat="1" ht="14.5" x14ac:dyDescent="0.35">
      <c r="A36" s="117" t="s">
        <v>160</v>
      </c>
      <c r="B36" s="117" t="s">
        <v>161</v>
      </c>
      <c r="C36" s="118" t="s">
        <v>146</v>
      </c>
      <c r="D36" s="126">
        <v>190</v>
      </c>
      <c r="E36" s="126">
        <v>18000</v>
      </c>
      <c r="F36" s="126">
        <v>18000</v>
      </c>
      <c r="G36" s="126">
        <v>18000</v>
      </c>
      <c r="H36" s="117" t="s">
        <v>162</v>
      </c>
      <c r="I36" s="117" t="s">
        <v>163</v>
      </c>
    </row>
    <row r="37" spans="1:9" s="27" customFormat="1" ht="14.5" x14ac:dyDescent="0.35">
      <c r="A37" s="117" t="s">
        <v>160</v>
      </c>
      <c r="B37" s="117" t="s">
        <v>164</v>
      </c>
      <c r="C37" s="118" t="s">
        <v>146</v>
      </c>
      <c r="D37" s="126">
        <v>280</v>
      </c>
      <c r="E37" s="126">
        <v>18000</v>
      </c>
      <c r="F37" s="126">
        <v>17000</v>
      </c>
      <c r="G37" s="126">
        <v>17571</v>
      </c>
      <c r="H37" s="117" t="s">
        <v>162</v>
      </c>
      <c r="I37" s="117" t="s">
        <v>163</v>
      </c>
    </row>
    <row r="38" spans="1:9" s="27" customFormat="1" ht="14.5" x14ac:dyDescent="0.35">
      <c r="A38" s="117" t="s">
        <v>160</v>
      </c>
      <c r="B38" s="117" t="s">
        <v>165</v>
      </c>
      <c r="C38" s="118" t="s">
        <v>166</v>
      </c>
      <c r="D38" s="126">
        <v>180</v>
      </c>
      <c r="E38" s="126">
        <v>18000</v>
      </c>
      <c r="F38" s="126">
        <v>18000</v>
      </c>
      <c r="G38" s="126">
        <v>18000</v>
      </c>
      <c r="H38" s="117" t="s">
        <v>162</v>
      </c>
      <c r="I38" s="117" t="s">
        <v>87</v>
      </c>
    </row>
    <row r="39" spans="1:9" s="27" customFormat="1" ht="14.5" x14ac:dyDescent="0.35">
      <c r="A39" s="117" t="s">
        <v>160</v>
      </c>
      <c r="B39" s="117" t="s">
        <v>165</v>
      </c>
      <c r="C39" s="118" t="s">
        <v>146</v>
      </c>
      <c r="D39" s="126">
        <v>190</v>
      </c>
      <c r="E39" s="126">
        <v>18000</v>
      </c>
      <c r="F39" s="126">
        <v>18000</v>
      </c>
      <c r="G39" s="126">
        <v>18000</v>
      </c>
      <c r="H39" s="117" t="s">
        <v>162</v>
      </c>
      <c r="I39" s="117" t="s">
        <v>163</v>
      </c>
    </row>
    <row r="40" spans="1:9" s="27" customFormat="1" ht="14.5" x14ac:dyDescent="0.35">
      <c r="A40" s="117" t="s">
        <v>160</v>
      </c>
      <c r="B40" s="117" t="s">
        <v>165</v>
      </c>
      <c r="C40" s="118" t="s">
        <v>146</v>
      </c>
      <c r="D40" s="126">
        <v>380</v>
      </c>
      <c r="E40" s="126">
        <v>18000</v>
      </c>
      <c r="F40" s="126">
        <v>17500</v>
      </c>
      <c r="G40" s="126">
        <v>17750</v>
      </c>
      <c r="H40" s="117" t="s">
        <v>162</v>
      </c>
      <c r="I40" s="117" t="s">
        <v>167</v>
      </c>
    </row>
    <row r="41" spans="1:9" s="27" customFormat="1" ht="14.5" x14ac:dyDescent="0.35">
      <c r="A41" s="117" t="s">
        <v>168</v>
      </c>
      <c r="B41" s="117" t="s">
        <v>65</v>
      </c>
      <c r="C41" s="118" t="s">
        <v>66</v>
      </c>
      <c r="D41" s="126">
        <v>76</v>
      </c>
      <c r="E41" s="126">
        <v>13000</v>
      </c>
      <c r="F41" s="126">
        <v>12000</v>
      </c>
      <c r="G41" s="126">
        <v>12500</v>
      </c>
      <c r="H41" s="117" t="s">
        <v>169</v>
      </c>
      <c r="I41" s="117" t="s">
        <v>63</v>
      </c>
    </row>
    <row r="42" spans="1:9" s="27" customFormat="1" ht="14.5" x14ac:dyDescent="0.35">
      <c r="A42" s="117" t="s">
        <v>168</v>
      </c>
      <c r="B42" s="117" t="s">
        <v>65</v>
      </c>
      <c r="C42" s="118" t="s">
        <v>57</v>
      </c>
      <c r="D42" s="126">
        <v>40</v>
      </c>
      <c r="E42" s="126">
        <v>11000</v>
      </c>
      <c r="F42" s="126">
        <v>11000</v>
      </c>
      <c r="G42" s="126">
        <v>11000</v>
      </c>
      <c r="H42" s="117" t="s">
        <v>170</v>
      </c>
      <c r="I42" s="117" t="s">
        <v>63</v>
      </c>
    </row>
    <row r="43" spans="1:9" s="27" customFormat="1" ht="14.5" x14ac:dyDescent="0.35">
      <c r="A43" s="117" t="s">
        <v>171</v>
      </c>
      <c r="B43" s="117" t="s">
        <v>172</v>
      </c>
      <c r="C43" s="118" t="s">
        <v>66</v>
      </c>
      <c r="D43" s="126">
        <v>76</v>
      </c>
      <c r="E43" s="126">
        <v>16000</v>
      </c>
      <c r="F43" s="126">
        <v>15000</v>
      </c>
      <c r="G43" s="126">
        <v>15500</v>
      </c>
      <c r="H43" s="117" t="s">
        <v>62</v>
      </c>
      <c r="I43" s="117" t="s">
        <v>63</v>
      </c>
    </row>
    <row r="44" spans="1:9" s="27" customFormat="1" ht="14.5" x14ac:dyDescent="0.35">
      <c r="A44" s="117" t="s">
        <v>171</v>
      </c>
      <c r="B44" s="117" t="s">
        <v>172</v>
      </c>
      <c r="C44" s="118" t="s">
        <v>57</v>
      </c>
      <c r="D44" s="126">
        <v>25</v>
      </c>
      <c r="E44" s="126">
        <v>13000</v>
      </c>
      <c r="F44" s="126">
        <v>13000</v>
      </c>
      <c r="G44" s="126">
        <v>13000</v>
      </c>
      <c r="H44" s="117" t="s">
        <v>62</v>
      </c>
      <c r="I44" s="117" t="s">
        <v>63</v>
      </c>
    </row>
    <row r="45" spans="1:9" s="27" customFormat="1" ht="14.5" x14ac:dyDescent="0.35">
      <c r="A45" s="117" t="s">
        <v>171</v>
      </c>
      <c r="B45" s="117" t="s">
        <v>173</v>
      </c>
      <c r="C45" s="118" t="s">
        <v>66</v>
      </c>
      <c r="D45" s="126">
        <v>76</v>
      </c>
      <c r="E45" s="126">
        <v>15000</v>
      </c>
      <c r="F45" s="126">
        <v>14000</v>
      </c>
      <c r="G45" s="126">
        <v>14500</v>
      </c>
      <c r="H45" s="117" t="s">
        <v>62</v>
      </c>
      <c r="I45" s="117" t="s">
        <v>63</v>
      </c>
    </row>
    <row r="46" spans="1:9" s="27" customFormat="1" ht="14.5" x14ac:dyDescent="0.35">
      <c r="A46" s="117" t="s">
        <v>174</v>
      </c>
      <c r="B46" s="117" t="s">
        <v>65</v>
      </c>
      <c r="C46" s="118" t="s">
        <v>66</v>
      </c>
      <c r="D46" s="126">
        <v>35</v>
      </c>
      <c r="E46" s="126">
        <v>35000</v>
      </c>
      <c r="F46" s="126">
        <v>35000</v>
      </c>
      <c r="G46" s="126">
        <v>35000</v>
      </c>
      <c r="H46" s="117" t="s">
        <v>175</v>
      </c>
      <c r="I46" s="117" t="s">
        <v>63</v>
      </c>
    </row>
    <row r="47" spans="1:9" s="27" customFormat="1" ht="14.5" x14ac:dyDescent="0.35">
      <c r="A47" s="117" t="s">
        <v>73</v>
      </c>
      <c r="B47" s="117" t="s">
        <v>176</v>
      </c>
      <c r="C47" s="118" t="s">
        <v>66</v>
      </c>
      <c r="D47" s="126">
        <v>1200</v>
      </c>
      <c r="E47" s="126">
        <v>1800</v>
      </c>
      <c r="F47" s="126">
        <v>1800</v>
      </c>
      <c r="G47" s="126">
        <v>1800</v>
      </c>
      <c r="H47" s="117" t="s">
        <v>67</v>
      </c>
      <c r="I47" s="117" t="s">
        <v>149</v>
      </c>
    </row>
    <row r="48" spans="1:9" s="27" customFormat="1" ht="14.5" x14ac:dyDescent="0.35">
      <c r="A48" s="117" t="s">
        <v>75</v>
      </c>
      <c r="B48" s="117" t="s">
        <v>78</v>
      </c>
      <c r="C48" s="118" t="s">
        <v>66</v>
      </c>
      <c r="D48" s="126">
        <v>410</v>
      </c>
      <c r="E48" s="126">
        <v>16000</v>
      </c>
      <c r="F48" s="126">
        <v>15000</v>
      </c>
      <c r="G48" s="126">
        <v>15512</v>
      </c>
      <c r="H48" s="117" t="s">
        <v>177</v>
      </c>
      <c r="I48" s="117" t="s">
        <v>63</v>
      </c>
    </row>
    <row r="49" spans="1:9" s="27" customFormat="1" ht="14.5" x14ac:dyDescent="0.35">
      <c r="A49" s="117" t="s">
        <v>75</v>
      </c>
      <c r="B49" s="117" t="s">
        <v>78</v>
      </c>
      <c r="C49" s="118" t="s">
        <v>57</v>
      </c>
      <c r="D49" s="126">
        <v>380</v>
      </c>
      <c r="E49" s="126">
        <v>13000</v>
      </c>
      <c r="F49" s="126">
        <v>12000</v>
      </c>
      <c r="G49" s="126">
        <v>12526</v>
      </c>
      <c r="H49" s="117" t="s">
        <v>177</v>
      </c>
      <c r="I49" s="117" t="s">
        <v>63</v>
      </c>
    </row>
    <row r="50" spans="1:9" s="27" customFormat="1" ht="14.5" x14ac:dyDescent="0.35">
      <c r="A50" s="117" t="s">
        <v>75</v>
      </c>
      <c r="B50" s="117" t="s">
        <v>78</v>
      </c>
      <c r="C50" s="118" t="s">
        <v>68</v>
      </c>
      <c r="D50" s="126">
        <v>120</v>
      </c>
      <c r="E50" s="126">
        <v>10000</v>
      </c>
      <c r="F50" s="126">
        <v>10000</v>
      </c>
      <c r="G50" s="126">
        <v>10000</v>
      </c>
      <c r="H50" s="117" t="s">
        <v>177</v>
      </c>
      <c r="I50" s="117" t="s">
        <v>63</v>
      </c>
    </row>
    <row r="51" spans="1:9" s="27" customFormat="1" ht="14.5" x14ac:dyDescent="0.35">
      <c r="A51" s="117" t="s">
        <v>178</v>
      </c>
      <c r="B51" s="117" t="s">
        <v>65</v>
      </c>
      <c r="C51" s="118" t="s">
        <v>66</v>
      </c>
      <c r="D51" s="126">
        <v>150</v>
      </c>
      <c r="E51" s="126">
        <v>16000</v>
      </c>
      <c r="F51" s="126">
        <v>16000</v>
      </c>
      <c r="G51" s="126">
        <v>16000</v>
      </c>
      <c r="H51" s="117" t="s">
        <v>179</v>
      </c>
      <c r="I51" s="117" t="s">
        <v>180</v>
      </c>
    </row>
    <row r="52" spans="1:9" s="27" customFormat="1" ht="14.5" x14ac:dyDescent="0.35">
      <c r="A52" s="117" t="s">
        <v>178</v>
      </c>
      <c r="B52" s="117" t="s">
        <v>65</v>
      </c>
      <c r="C52" s="118" t="s">
        <v>66</v>
      </c>
      <c r="D52" s="126">
        <v>280</v>
      </c>
      <c r="E52" s="126">
        <v>17000</v>
      </c>
      <c r="F52" s="126">
        <v>16000</v>
      </c>
      <c r="G52" s="126">
        <v>16571</v>
      </c>
      <c r="H52" s="117" t="s">
        <v>179</v>
      </c>
      <c r="I52" s="117" t="s">
        <v>87</v>
      </c>
    </row>
    <row r="53" spans="1:9" s="27" customFormat="1" ht="14.5" x14ac:dyDescent="0.35">
      <c r="A53" s="117" t="s">
        <v>181</v>
      </c>
      <c r="B53" s="117" t="s">
        <v>182</v>
      </c>
      <c r="C53" s="118" t="s">
        <v>146</v>
      </c>
      <c r="D53" s="126">
        <v>100</v>
      </c>
      <c r="E53" s="126">
        <v>2400</v>
      </c>
      <c r="F53" s="126">
        <v>2400</v>
      </c>
      <c r="G53" s="126">
        <v>2400</v>
      </c>
      <c r="H53" s="117" t="s">
        <v>183</v>
      </c>
      <c r="I53" s="117" t="s">
        <v>99</v>
      </c>
    </row>
    <row r="54" spans="1:9" s="27" customFormat="1" ht="14.5" x14ac:dyDescent="0.35">
      <c r="A54" s="117" t="s">
        <v>181</v>
      </c>
      <c r="B54" s="117" t="s">
        <v>182</v>
      </c>
      <c r="C54" s="118" t="s">
        <v>184</v>
      </c>
      <c r="D54" s="126">
        <v>80</v>
      </c>
      <c r="E54" s="126">
        <v>1600</v>
      </c>
      <c r="F54" s="126">
        <v>1600</v>
      </c>
      <c r="G54" s="126">
        <v>1600</v>
      </c>
      <c r="H54" s="117" t="s">
        <v>183</v>
      </c>
      <c r="I54" s="117" t="s">
        <v>185</v>
      </c>
    </row>
    <row r="55" spans="1:9" s="27" customFormat="1" ht="14.5" x14ac:dyDescent="0.35">
      <c r="A55" s="117" t="s">
        <v>181</v>
      </c>
      <c r="B55" s="117" t="s">
        <v>186</v>
      </c>
      <c r="C55" s="118" t="s">
        <v>146</v>
      </c>
      <c r="D55" s="126">
        <v>90</v>
      </c>
      <c r="E55" s="126">
        <v>1500</v>
      </c>
      <c r="F55" s="126">
        <v>1500</v>
      </c>
      <c r="G55" s="126">
        <v>1500</v>
      </c>
      <c r="H55" s="117" t="s">
        <v>183</v>
      </c>
      <c r="I55" s="117" t="s">
        <v>99</v>
      </c>
    </row>
    <row r="56" spans="1:9" s="27" customFormat="1" ht="15" thickBot="1" x14ac:dyDescent="0.4">
      <c r="A56" s="123" t="s">
        <v>187</v>
      </c>
      <c r="B56" s="123" t="s">
        <v>65</v>
      </c>
      <c r="C56" s="124" t="s">
        <v>66</v>
      </c>
      <c r="D56" s="127">
        <v>85</v>
      </c>
      <c r="E56" s="127">
        <v>19000</v>
      </c>
      <c r="F56" s="127">
        <v>18000</v>
      </c>
      <c r="G56" s="127">
        <v>18471</v>
      </c>
      <c r="H56" s="123" t="s">
        <v>188</v>
      </c>
      <c r="I56" s="123" t="s">
        <v>63</v>
      </c>
    </row>
    <row r="57" spans="1:9" s="27" customFormat="1" ht="14.5" x14ac:dyDescent="0.35">
      <c r="A57" s="128" t="s">
        <v>310</v>
      </c>
      <c r="B57" s="77"/>
      <c r="C57" s="114"/>
      <c r="D57" s="116"/>
      <c r="E57" s="116"/>
      <c r="F57" s="116"/>
      <c r="G57" s="116"/>
      <c r="H57" s="77"/>
      <c r="I57" s="77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7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f ca="1">+'Frutas_Lo Valledor'!$B$4</f>
        <v>46226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33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127</v>
      </c>
      <c r="B10" s="122" t="s">
        <v>65</v>
      </c>
      <c r="C10" s="122" t="s">
        <v>66</v>
      </c>
      <c r="D10" s="125">
        <v>500</v>
      </c>
      <c r="E10" s="125">
        <v>800</v>
      </c>
      <c r="F10" s="125">
        <v>700</v>
      </c>
      <c r="G10" s="125">
        <v>750</v>
      </c>
      <c r="H10" s="122" t="s">
        <v>255</v>
      </c>
      <c r="I10" s="122" t="s">
        <v>215</v>
      </c>
    </row>
    <row r="11" spans="1:9" s="27" customFormat="1" ht="14.5" x14ac:dyDescent="0.35">
      <c r="A11" s="117" t="s">
        <v>129</v>
      </c>
      <c r="B11" s="117" t="s">
        <v>130</v>
      </c>
      <c r="C11" s="118" t="s">
        <v>66</v>
      </c>
      <c r="D11" s="126">
        <v>440</v>
      </c>
      <c r="E11" s="130">
        <v>18000</v>
      </c>
      <c r="F11" s="130">
        <v>17000</v>
      </c>
      <c r="G11" s="130">
        <v>17500</v>
      </c>
      <c r="H11" s="117" t="s">
        <v>107</v>
      </c>
      <c r="I11" s="117" t="s">
        <v>131</v>
      </c>
    </row>
    <row r="12" spans="1:9" s="27" customFormat="1" ht="14.5" x14ac:dyDescent="0.35">
      <c r="A12" s="117" t="s">
        <v>137</v>
      </c>
      <c r="B12" s="117" t="s">
        <v>138</v>
      </c>
      <c r="C12" s="118" t="s">
        <v>66</v>
      </c>
      <c r="D12" s="126">
        <v>400</v>
      </c>
      <c r="E12" s="130">
        <v>8000</v>
      </c>
      <c r="F12" s="130">
        <v>7000</v>
      </c>
      <c r="G12" s="130">
        <v>7500</v>
      </c>
      <c r="H12" s="117" t="s">
        <v>256</v>
      </c>
      <c r="I12" s="117" t="s">
        <v>215</v>
      </c>
    </row>
    <row r="13" spans="1:9" s="27" customFormat="1" ht="14.5" x14ac:dyDescent="0.35">
      <c r="A13" s="117" t="s">
        <v>141</v>
      </c>
      <c r="B13" s="117" t="s">
        <v>65</v>
      </c>
      <c r="C13" s="118" t="s">
        <v>66</v>
      </c>
      <c r="D13" s="126">
        <v>700</v>
      </c>
      <c r="E13" s="130">
        <v>800</v>
      </c>
      <c r="F13" s="130">
        <v>700</v>
      </c>
      <c r="G13" s="130">
        <v>750</v>
      </c>
      <c r="H13" s="117" t="s">
        <v>257</v>
      </c>
      <c r="I13" s="117" t="s">
        <v>215</v>
      </c>
    </row>
    <row r="14" spans="1:9" s="27" customFormat="1" ht="14.5" x14ac:dyDescent="0.35">
      <c r="A14" s="117" t="s">
        <v>64</v>
      </c>
      <c r="B14" s="117" t="s">
        <v>65</v>
      </c>
      <c r="C14" s="118" t="s">
        <v>66</v>
      </c>
      <c r="D14" s="126">
        <v>1400</v>
      </c>
      <c r="E14" s="130">
        <v>1300</v>
      </c>
      <c r="F14" s="130">
        <v>1200</v>
      </c>
      <c r="G14" s="130">
        <v>1250</v>
      </c>
      <c r="H14" s="117" t="s">
        <v>67</v>
      </c>
      <c r="I14" s="117" t="s">
        <v>215</v>
      </c>
    </row>
    <row r="15" spans="1:9" s="27" customFormat="1" ht="14.5" x14ac:dyDescent="0.35">
      <c r="A15" s="117" t="s">
        <v>150</v>
      </c>
      <c r="B15" s="117" t="s">
        <v>65</v>
      </c>
      <c r="C15" s="118" t="s">
        <v>66</v>
      </c>
      <c r="D15" s="126">
        <v>600</v>
      </c>
      <c r="E15" s="130">
        <v>7500</v>
      </c>
      <c r="F15" s="130">
        <v>7000</v>
      </c>
      <c r="G15" s="130">
        <v>7250</v>
      </c>
      <c r="H15" s="117" t="s">
        <v>258</v>
      </c>
      <c r="I15" s="117" t="s">
        <v>215</v>
      </c>
    </row>
    <row r="16" spans="1:9" s="27" customFormat="1" ht="14.5" x14ac:dyDescent="0.35">
      <c r="A16" s="117" t="s">
        <v>152</v>
      </c>
      <c r="B16" s="117" t="s">
        <v>65</v>
      </c>
      <c r="C16" s="118" t="s">
        <v>66</v>
      </c>
      <c r="D16" s="126">
        <v>840</v>
      </c>
      <c r="E16" s="130">
        <v>4500</v>
      </c>
      <c r="F16" s="130">
        <v>4000</v>
      </c>
      <c r="G16" s="130">
        <v>4250</v>
      </c>
      <c r="H16" s="117" t="s">
        <v>259</v>
      </c>
      <c r="I16" s="117" t="s">
        <v>215</v>
      </c>
    </row>
    <row r="17" spans="1:9" s="27" customFormat="1" ht="14.5" x14ac:dyDescent="0.35">
      <c r="A17" s="117" t="s">
        <v>154</v>
      </c>
      <c r="B17" s="117" t="s">
        <v>65</v>
      </c>
      <c r="C17" s="118" t="s">
        <v>66</v>
      </c>
      <c r="D17" s="126">
        <v>1500</v>
      </c>
      <c r="E17" s="130">
        <v>1300</v>
      </c>
      <c r="F17" s="130">
        <v>1200</v>
      </c>
      <c r="G17" s="130">
        <v>1250</v>
      </c>
      <c r="H17" s="117" t="s">
        <v>67</v>
      </c>
      <c r="I17" s="117" t="s">
        <v>215</v>
      </c>
    </row>
    <row r="18" spans="1:9" s="27" customFormat="1" ht="14.5" x14ac:dyDescent="0.35">
      <c r="A18" s="117" t="s">
        <v>156</v>
      </c>
      <c r="B18" s="117" t="s">
        <v>65</v>
      </c>
      <c r="C18" s="118" t="s">
        <v>66</v>
      </c>
      <c r="D18" s="126">
        <v>600</v>
      </c>
      <c r="E18" s="130">
        <v>800</v>
      </c>
      <c r="F18" s="130">
        <v>700</v>
      </c>
      <c r="G18" s="130">
        <v>750</v>
      </c>
      <c r="H18" s="117" t="s">
        <v>260</v>
      </c>
      <c r="I18" s="117" t="s">
        <v>215</v>
      </c>
    </row>
    <row r="19" spans="1:9" s="27" customFormat="1" ht="14.5" x14ac:dyDescent="0.35">
      <c r="A19" s="117" t="s">
        <v>69</v>
      </c>
      <c r="B19" s="117" t="s">
        <v>157</v>
      </c>
      <c r="C19" s="118" t="s">
        <v>66</v>
      </c>
      <c r="D19" s="126">
        <v>480</v>
      </c>
      <c r="E19" s="130">
        <v>10000</v>
      </c>
      <c r="F19" s="130">
        <v>9000</v>
      </c>
      <c r="G19" s="130">
        <v>9500</v>
      </c>
      <c r="H19" s="117" t="s">
        <v>158</v>
      </c>
      <c r="I19" s="117" t="s">
        <v>215</v>
      </c>
    </row>
    <row r="20" spans="1:9" s="27" customFormat="1" ht="14.5" x14ac:dyDescent="0.35">
      <c r="A20" s="117" t="s">
        <v>69</v>
      </c>
      <c r="B20" s="117" t="s">
        <v>70</v>
      </c>
      <c r="C20" s="118" t="s">
        <v>66</v>
      </c>
      <c r="D20" s="126">
        <v>500</v>
      </c>
      <c r="E20" s="130">
        <v>12000</v>
      </c>
      <c r="F20" s="130">
        <v>11000</v>
      </c>
      <c r="G20" s="130">
        <v>11500</v>
      </c>
      <c r="H20" s="117" t="s">
        <v>159</v>
      </c>
      <c r="I20" s="117" t="s">
        <v>215</v>
      </c>
    </row>
    <row r="21" spans="1:9" s="27" customFormat="1" ht="14.5" x14ac:dyDescent="0.35">
      <c r="A21" s="117" t="s">
        <v>69</v>
      </c>
      <c r="B21" s="117" t="s">
        <v>133</v>
      </c>
      <c r="C21" s="118" t="s">
        <v>66</v>
      </c>
      <c r="D21" s="126">
        <v>400</v>
      </c>
      <c r="E21" s="130">
        <v>10000</v>
      </c>
      <c r="F21" s="130">
        <v>9000</v>
      </c>
      <c r="G21" s="130">
        <v>9500</v>
      </c>
      <c r="H21" s="117" t="s">
        <v>159</v>
      </c>
      <c r="I21" s="117" t="s">
        <v>215</v>
      </c>
    </row>
    <row r="22" spans="1:9" s="27" customFormat="1" ht="14.5" x14ac:dyDescent="0.35">
      <c r="A22" s="117" t="s">
        <v>69</v>
      </c>
      <c r="B22" s="117" t="s">
        <v>216</v>
      </c>
      <c r="C22" s="118" t="s">
        <v>66</v>
      </c>
      <c r="D22" s="126">
        <v>300</v>
      </c>
      <c r="E22" s="130">
        <v>10000</v>
      </c>
      <c r="F22" s="130">
        <v>9000</v>
      </c>
      <c r="G22" s="130">
        <v>9500</v>
      </c>
      <c r="H22" s="117" t="s">
        <v>159</v>
      </c>
      <c r="I22" s="117" t="s">
        <v>215</v>
      </c>
    </row>
    <row r="23" spans="1:9" s="27" customFormat="1" ht="14.5" x14ac:dyDescent="0.35">
      <c r="A23" s="117" t="s">
        <v>69</v>
      </c>
      <c r="B23" s="117" t="s">
        <v>240</v>
      </c>
      <c r="C23" s="118" t="s">
        <v>66</v>
      </c>
      <c r="D23" s="126">
        <v>360</v>
      </c>
      <c r="E23" s="130">
        <v>10000</v>
      </c>
      <c r="F23" s="130">
        <v>9000</v>
      </c>
      <c r="G23" s="130">
        <v>9500</v>
      </c>
      <c r="H23" s="117" t="s">
        <v>241</v>
      </c>
      <c r="I23" s="117" t="s">
        <v>215</v>
      </c>
    </row>
    <row r="24" spans="1:9" s="27" customFormat="1" ht="14.5" x14ac:dyDescent="0.35">
      <c r="A24" s="117" t="s">
        <v>160</v>
      </c>
      <c r="B24" s="117" t="s">
        <v>161</v>
      </c>
      <c r="C24" s="118" t="s">
        <v>166</v>
      </c>
      <c r="D24" s="126">
        <v>1400</v>
      </c>
      <c r="E24" s="130">
        <v>18000</v>
      </c>
      <c r="F24" s="130">
        <v>17000</v>
      </c>
      <c r="G24" s="130">
        <v>17500</v>
      </c>
      <c r="H24" s="117" t="s">
        <v>162</v>
      </c>
      <c r="I24" s="117" t="s">
        <v>143</v>
      </c>
    </row>
    <row r="25" spans="1:9" s="27" customFormat="1" ht="14.5" x14ac:dyDescent="0.35">
      <c r="A25" s="117" t="s">
        <v>160</v>
      </c>
      <c r="B25" s="117" t="s">
        <v>261</v>
      </c>
      <c r="C25" s="118" t="s">
        <v>166</v>
      </c>
      <c r="D25" s="126">
        <v>1000</v>
      </c>
      <c r="E25" s="130">
        <v>20000</v>
      </c>
      <c r="F25" s="130">
        <v>19000</v>
      </c>
      <c r="G25" s="130">
        <v>19500</v>
      </c>
      <c r="H25" s="117" t="s">
        <v>162</v>
      </c>
      <c r="I25" s="117" t="s">
        <v>215</v>
      </c>
    </row>
    <row r="26" spans="1:9" s="27" customFormat="1" ht="14.5" x14ac:dyDescent="0.35">
      <c r="A26" s="117" t="s">
        <v>160</v>
      </c>
      <c r="B26" s="117" t="s">
        <v>164</v>
      </c>
      <c r="C26" s="118" t="s">
        <v>146</v>
      </c>
      <c r="D26" s="126">
        <v>1600</v>
      </c>
      <c r="E26" s="130">
        <v>18000</v>
      </c>
      <c r="F26" s="130">
        <v>17000</v>
      </c>
      <c r="G26" s="130">
        <v>17500</v>
      </c>
      <c r="H26" s="117" t="s">
        <v>162</v>
      </c>
      <c r="I26" s="117" t="s">
        <v>262</v>
      </c>
    </row>
    <row r="27" spans="1:9" s="27" customFormat="1" ht="14.5" x14ac:dyDescent="0.35">
      <c r="A27" s="117" t="s">
        <v>160</v>
      </c>
      <c r="B27" s="117" t="s">
        <v>244</v>
      </c>
      <c r="C27" s="118" t="s">
        <v>166</v>
      </c>
      <c r="D27" s="126">
        <v>1400</v>
      </c>
      <c r="E27" s="130">
        <v>15000</v>
      </c>
      <c r="F27" s="130">
        <v>14000</v>
      </c>
      <c r="G27" s="130">
        <v>14500</v>
      </c>
      <c r="H27" s="117" t="s">
        <v>162</v>
      </c>
      <c r="I27" s="117" t="s">
        <v>262</v>
      </c>
    </row>
    <row r="28" spans="1:9" s="27" customFormat="1" ht="14.5" x14ac:dyDescent="0.35">
      <c r="A28" s="117" t="s">
        <v>245</v>
      </c>
      <c r="B28" s="117" t="s">
        <v>65</v>
      </c>
      <c r="C28" s="118" t="s">
        <v>66</v>
      </c>
      <c r="D28" s="126">
        <v>700</v>
      </c>
      <c r="E28" s="130">
        <v>4500</v>
      </c>
      <c r="F28" s="130">
        <v>4000</v>
      </c>
      <c r="G28" s="130">
        <v>4250</v>
      </c>
      <c r="H28" s="117" t="s">
        <v>259</v>
      </c>
      <c r="I28" s="117" t="s">
        <v>215</v>
      </c>
    </row>
    <row r="29" spans="1:9" s="27" customFormat="1" ht="14.5" x14ac:dyDescent="0.35">
      <c r="A29" s="117" t="s">
        <v>73</v>
      </c>
      <c r="B29" s="117" t="s">
        <v>74</v>
      </c>
      <c r="C29" s="118" t="s">
        <v>66</v>
      </c>
      <c r="D29" s="126">
        <v>1200</v>
      </c>
      <c r="E29" s="130">
        <v>2400</v>
      </c>
      <c r="F29" s="130">
        <v>2300</v>
      </c>
      <c r="G29" s="130">
        <v>2350</v>
      </c>
      <c r="H29" s="117" t="s">
        <v>67</v>
      </c>
      <c r="I29" s="117" t="s">
        <v>215</v>
      </c>
    </row>
    <row r="30" spans="1:9" s="27" customFormat="1" ht="14.5" x14ac:dyDescent="0.35">
      <c r="A30" s="117" t="s">
        <v>75</v>
      </c>
      <c r="B30" s="117" t="s">
        <v>78</v>
      </c>
      <c r="C30" s="118" t="s">
        <v>66</v>
      </c>
      <c r="D30" s="126">
        <v>800</v>
      </c>
      <c r="E30" s="130">
        <v>14000</v>
      </c>
      <c r="F30" s="130">
        <v>13000</v>
      </c>
      <c r="G30" s="130">
        <v>13500</v>
      </c>
      <c r="H30" s="117" t="s">
        <v>177</v>
      </c>
      <c r="I30" s="117" t="s">
        <v>63</v>
      </c>
    </row>
    <row r="31" spans="1:9" s="27" customFormat="1" ht="14.5" x14ac:dyDescent="0.35">
      <c r="A31" s="117" t="s">
        <v>178</v>
      </c>
      <c r="B31" s="117" t="s">
        <v>65</v>
      </c>
      <c r="C31" s="118" t="s">
        <v>66</v>
      </c>
      <c r="D31" s="126">
        <v>400</v>
      </c>
      <c r="E31" s="130">
        <v>18000</v>
      </c>
      <c r="F31" s="130">
        <v>17000</v>
      </c>
      <c r="G31" s="130">
        <v>17500</v>
      </c>
      <c r="H31" s="117" t="s">
        <v>179</v>
      </c>
      <c r="I31" s="117" t="s">
        <v>254</v>
      </c>
    </row>
    <row r="32" spans="1:9" s="27" customFormat="1" ht="14.5" x14ac:dyDescent="0.35">
      <c r="A32" s="117" t="s">
        <v>181</v>
      </c>
      <c r="B32" s="117" t="s">
        <v>182</v>
      </c>
      <c r="C32" s="118" t="s">
        <v>263</v>
      </c>
      <c r="D32" s="126">
        <v>1300</v>
      </c>
      <c r="E32" s="130">
        <v>2000</v>
      </c>
      <c r="F32" s="130">
        <v>1800</v>
      </c>
      <c r="G32" s="130">
        <v>1900</v>
      </c>
      <c r="H32" s="117" t="s">
        <v>183</v>
      </c>
      <c r="I32" s="117" t="s">
        <v>59</v>
      </c>
    </row>
    <row r="33" spans="1:9" s="27" customFormat="1" ht="15" thickBot="1" x14ac:dyDescent="0.4">
      <c r="A33" s="123" t="s">
        <v>187</v>
      </c>
      <c r="B33" s="123" t="s">
        <v>65</v>
      </c>
      <c r="C33" s="124" t="s">
        <v>66</v>
      </c>
      <c r="D33" s="127">
        <v>400</v>
      </c>
      <c r="E33" s="131">
        <v>20000</v>
      </c>
      <c r="F33" s="131">
        <v>19000</v>
      </c>
      <c r="G33" s="131">
        <v>19500</v>
      </c>
      <c r="H33" s="123" t="s">
        <v>188</v>
      </c>
      <c r="I33" s="123" t="s">
        <v>63</v>
      </c>
    </row>
    <row r="34" spans="1:9" s="27" customFormat="1" ht="14.5" x14ac:dyDescent="0.35">
      <c r="A34" s="128" t="s">
        <v>310</v>
      </c>
      <c r="B34" s="77"/>
      <c r="C34" s="114"/>
      <c r="D34" s="116"/>
      <c r="E34" s="129"/>
      <c r="F34" s="129"/>
      <c r="G34" s="129"/>
      <c r="H34" s="77"/>
      <c r="I34" s="77"/>
    </row>
    <row r="35" spans="1:9" s="27" customFormat="1" ht="14.5" x14ac:dyDescent="0.35">
      <c r="C35" s="69"/>
      <c r="D35" s="71"/>
      <c r="E35" s="72"/>
      <c r="F35" s="72"/>
      <c r="G35" s="72"/>
    </row>
    <row r="36" spans="1:9" s="27" customFormat="1" ht="14.5" x14ac:dyDescent="0.35">
      <c r="C36" s="69"/>
      <c r="D36" s="71"/>
      <c r="E36" s="72"/>
      <c r="F36" s="72"/>
      <c r="G36" s="72"/>
    </row>
    <row r="37" spans="1:9" s="27" customFormat="1" ht="14.5" x14ac:dyDescent="0.35">
      <c r="C37" s="69"/>
      <c r="D37" s="71"/>
      <c r="E37" s="72"/>
      <c r="F37" s="72"/>
      <c r="G37" s="72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2" t="s">
        <v>7</v>
      </c>
      <c r="B2" s="83"/>
    </row>
    <row r="3" spans="1:11" ht="18.5" x14ac:dyDescent="0.45">
      <c r="A3" s="83" t="s">
        <v>15</v>
      </c>
      <c r="B3" s="83"/>
    </row>
    <row r="4" spans="1:11" ht="18.5" x14ac:dyDescent="0.45">
      <c r="A4" s="83" t="s">
        <v>16</v>
      </c>
      <c r="B4" s="85">
        <v>46225</v>
      </c>
    </row>
    <row r="5" spans="1:11" ht="18.5" x14ac:dyDescent="0.45">
      <c r="A5" s="83" t="s">
        <v>49</v>
      </c>
      <c r="B5" s="83"/>
    </row>
    <row r="6" spans="1:11" ht="18.5" x14ac:dyDescent="0.45">
      <c r="A6" s="83"/>
      <c r="B6" s="83"/>
    </row>
    <row r="7" spans="1:11" ht="18.5" x14ac:dyDescent="0.3">
      <c r="A7" s="86" t="s">
        <v>37</v>
      </c>
      <c r="B7" s="89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9" t="s">
        <v>9</v>
      </c>
      <c r="B9" s="79" t="s">
        <v>10</v>
      </c>
      <c r="C9" s="79" t="s">
        <v>11</v>
      </c>
      <c r="D9" s="80" t="s">
        <v>12</v>
      </c>
      <c r="E9" s="81" t="s">
        <v>47</v>
      </c>
      <c r="F9" s="81" t="s">
        <v>46</v>
      </c>
      <c r="G9" s="81" t="s">
        <v>19</v>
      </c>
      <c r="H9" s="79" t="s">
        <v>13</v>
      </c>
      <c r="I9" s="79" t="s">
        <v>14</v>
      </c>
    </row>
    <row r="10" spans="1:11" s="27" customFormat="1" ht="15.5" x14ac:dyDescent="0.35">
      <c r="A10" s="132" t="s">
        <v>311</v>
      </c>
      <c r="B10" s="132"/>
      <c r="C10" s="132"/>
      <c r="D10" s="132"/>
      <c r="E10" s="132"/>
      <c r="F10" s="132"/>
      <c r="G10" s="132"/>
      <c r="H10" s="132"/>
      <c r="I10" s="132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21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129</v>
      </c>
      <c r="B10" s="122" t="s">
        <v>130</v>
      </c>
      <c r="C10" s="122" t="s">
        <v>66</v>
      </c>
      <c r="D10" s="125">
        <v>200</v>
      </c>
      <c r="E10" s="125">
        <v>16000</v>
      </c>
      <c r="F10" s="125">
        <v>16000</v>
      </c>
      <c r="G10" s="125">
        <v>16000</v>
      </c>
      <c r="H10" s="122" t="s">
        <v>77</v>
      </c>
      <c r="I10" s="122" t="s">
        <v>131</v>
      </c>
    </row>
    <row r="11" spans="1:9" x14ac:dyDescent="0.35">
      <c r="A11" s="117" t="s">
        <v>141</v>
      </c>
      <c r="B11" s="117" t="s">
        <v>65</v>
      </c>
      <c r="C11" s="117" t="s">
        <v>66</v>
      </c>
      <c r="D11" s="126">
        <v>200</v>
      </c>
      <c r="E11" s="126">
        <v>1000</v>
      </c>
      <c r="F11" s="126">
        <v>1000</v>
      </c>
      <c r="G11" s="126">
        <v>1000</v>
      </c>
      <c r="H11" s="117" t="s">
        <v>197</v>
      </c>
      <c r="I11" s="117" t="s">
        <v>143</v>
      </c>
    </row>
    <row r="12" spans="1:9" x14ac:dyDescent="0.35">
      <c r="A12" s="117" t="s">
        <v>141</v>
      </c>
      <c r="B12" s="117" t="s">
        <v>65</v>
      </c>
      <c r="C12" s="117" t="s">
        <v>57</v>
      </c>
      <c r="D12" s="126">
        <v>200</v>
      </c>
      <c r="E12" s="126">
        <v>750</v>
      </c>
      <c r="F12" s="126">
        <v>750</v>
      </c>
      <c r="G12" s="126">
        <v>750</v>
      </c>
      <c r="H12" s="117" t="s">
        <v>197</v>
      </c>
      <c r="I12" s="117" t="s">
        <v>143</v>
      </c>
    </row>
    <row r="13" spans="1:9" x14ac:dyDescent="0.35">
      <c r="A13" s="117" t="s">
        <v>64</v>
      </c>
      <c r="B13" s="117" t="s">
        <v>65</v>
      </c>
      <c r="C13" s="117" t="s">
        <v>66</v>
      </c>
      <c r="D13" s="126">
        <v>500</v>
      </c>
      <c r="E13" s="126">
        <v>1200</v>
      </c>
      <c r="F13" s="126">
        <v>1200</v>
      </c>
      <c r="G13" s="126">
        <v>1200</v>
      </c>
      <c r="H13" s="117" t="s">
        <v>67</v>
      </c>
      <c r="I13" s="117" t="s">
        <v>143</v>
      </c>
    </row>
    <row r="14" spans="1:9" x14ac:dyDescent="0.35">
      <c r="A14" s="117" t="s">
        <v>144</v>
      </c>
      <c r="B14" s="117" t="s">
        <v>65</v>
      </c>
      <c r="C14" s="117" t="s">
        <v>146</v>
      </c>
      <c r="D14" s="126">
        <v>200</v>
      </c>
      <c r="E14" s="126">
        <v>8500</v>
      </c>
      <c r="F14" s="126">
        <v>8500</v>
      </c>
      <c r="G14" s="126">
        <v>8500</v>
      </c>
      <c r="H14" s="117" t="s">
        <v>198</v>
      </c>
      <c r="I14" s="117" t="s">
        <v>99</v>
      </c>
    </row>
    <row r="15" spans="1:9" x14ac:dyDescent="0.35">
      <c r="A15" s="117" t="s">
        <v>144</v>
      </c>
      <c r="B15" s="117" t="s">
        <v>65</v>
      </c>
      <c r="C15" s="117" t="s">
        <v>184</v>
      </c>
      <c r="D15" s="126">
        <v>200</v>
      </c>
      <c r="E15" s="126">
        <v>7500</v>
      </c>
      <c r="F15" s="126">
        <v>7500</v>
      </c>
      <c r="G15" s="126">
        <v>7500</v>
      </c>
      <c r="H15" s="117" t="s">
        <v>198</v>
      </c>
      <c r="I15" s="117" t="s">
        <v>99</v>
      </c>
    </row>
    <row r="16" spans="1:9" x14ac:dyDescent="0.35">
      <c r="A16" s="117" t="s">
        <v>152</v>
      </c>
      <c r="B16" s="117" t="s">
        <v>65</v>
      </c>
      <c r="C16" s="117" t="s">
        <v>66</v>
      </c>
      <c r="D16" s="126">
        <v>100</v>
      </c>
      <c r="E16" s="126">
        <v>1500</v>
      </c>
      <c r="F16" s="126">
        <v>1500</v>
      </c>
      <c r="G16" s="126">
        <v>1500</v>
      </c>
      <c r="H16" s="117" t="s">
        <v>253</v>
      </c>
      <c r="I16" s="117" t="s">
        <v>254</v>
      </c>
    </row>
    <row r="17" spans="1:9" x14ac:dyDescent="0.35">
      <c r="A17" s="117" t="s">
        <v>154</v>
      </c>
      <c r="B17" s="117" t="s">
        <v>65</v>
      </c>
      <c r="C17" s="117" t="s">
        <v>66</v>
      </c>
      <c r="D17" s="126">
        <v>500</v>
      </c>
      <c r="E17" s="126">
        <v>1200</v>
      </c>
      <c r="F17" s="126">
        <v>1200</v>
      </c>
      <c r="G17" s="126">
        <v>1200</v>
      </c>
      <c r="H17" s="117" t="s">
        <v>67</v>
      </c>
      <c r="I17" s="117" t="s">
        <v>143</v>
      </c>
    </row>
    <row r="18" spans="1:9" x14ac:dyDescent="0.35">
      <c r="A18" s="117" t="s">
        <v>156</v>
      </c>
      <c r="B18" s="117" t="s">
        <v>65</v>
      </c>
      <c r="C18" s="117" t="s">
        <v>66</v>
      </c>
      <c r="D18" s="126">
        <v>40</v>
      </c>
      <c r="E18" s="126">
        <v>14000</v>
      </c>
      <c r="F18" s="126">
        <v>14000</v>
      </c>
      <c r="G18" s="126">
        <v>14000</v>
      </c>
      <c r="H18" s="117" t="s">
        <v>239</v>
      </c>
      <c r="I18" s="117" t="s">
        <v>143</v>
      </c>
    </row>
    <row r="19" spans="1:9" x14ac:dyDescent="0.35">
      <c r="A19" s="117" t="s">
        <v>69</v>
      </c>
      <c r="B19" s="117" t="s">
        <v>70</v>
      </c>
      <c r="C19" s="117" t="s">
        <v>66</v>
      </c>
      <c r="D19" s="126">
        <v>50</v>
      </c>
      <c r="E19" s="126">
        <v>20000</v>
      </c>
      <c r="F19" s="126">
        <v>20000</v>
      </c>
      <c r="G19" s="126">
        <v>20000</v>
      </c>
      <c r="H19" s="117" t="s">
        <v>159</v>
      </c>
      <c r="I19" s="117" t="s">
        <v>196</v>
      </c>
    </row>
    <row r="20" spans="1:9" x14ac:dyDescent="0.35">
      <c r="A20" s="117" t="s">
        <v>69</v>
      </c>
      <c r="B20" s="117" t="s">
        <v>133</v>
      </c>
      <c r="C20" s="117" t="s">
        <v>66</v>
      </c>
      <c r="D20" s="126">
        <v>50</v>
      </c>
      <c r="E20" s="126">
        <v>10000</v>
      </c>
      <c r="F20" s="126">
        <v>10000</v>
      </c>
      <c r="G20" s="126">
        <v>10000</v>
      </c>
      <c r="H20" s="117" t="s">
        <v>159</v>
      </c>
      <c r="I20" s="117" t="s">
        <v>167</v>
      </c>
    </row>
    <row r="21" spans="1:9" x14ac:dyDescent="0.35">
      <c r="A21" s="117" t="s">
        <v>69</v>
      </c>
      <c r="B21" s="117" t="s">
        <v>216</v>
      </c>
      <c r="C21" s="117" t="s">
        <v>66</v>
      </c>
      <c r="D21" s="126">
        <v>50</v>
      </c>
      <c r="E21" s="126">
        <v>10000</v>
      </c>
      <c r="F21" s="126">
        <v>10000</v>
      </c>
      <c r="G21" s="126">
        <v>10000</v>
      </c>
      <c r="H21" s="117" t="s">
        <v>159</v>
      </c>
      <c r="I21" s="117" t="s">
        <v>167</v>
      </c>
    </row>
    <row r="22" spans="1:9" x14ac:dyDescent="0.35">
      <c r="A22" s="117" t="s">
        <v>160</v>
      </c>
      <c r="B22" s="117" t="s">
        <v>161</v>
      </c>
      <c r="C22" s="117" t="s">
        <v>146</v>
      </c>
      <c r="D22" s="126">
        <v>200</v>
      </c>
      <c r="E22" s="126">
        <v>14000</v>
      </c>
      <c r="F22" s="126">
        <v>14000</v>
      </c>
      <c r="G22" s="126">
        <v>14000</v>
      </c>
      <c r="H22" s="117" t="s">
        <v>162</v>
      </c>
      <c r="I22" s="117" t="s">
        <v>309</v>
      </c>
    </row>
    <row r="23" spans="1:9" x14ac:dyDescent="0.35">
      <c r="A23" s="117" t="s">
        <v>160</v>
      </c>
      <c r="B23" s="117" t="s">
        <v>218</v>
      </c>
      <c r="C23" s="117" t="s">
        <v>146</v>
      </c>
      <c r="D23" s="126">
        <v>300</v>
      </c>
      <c r="E23" s="126">
        <v>14000</v>
      </c>
      <c r="F23" s="126">
        <v>14000</v>
      </c>
      <c r="G23" s="126">
        <v>14000</v>
      </c>
      <c r="H23" s="117" t="s">
        <v>162</v>
      </c>
      <c r="I23" s="117" t="s">
        <v>254</v>
      </c>
    </row>
    <row r="24" spans="1:9" x14ac:dyDescent="0.35">
      <c r="A24" s="117" t="s">
        <v>245</v>
      </c>
      <c r="B24" s="117" t="s">
        <v>65</v>
      </c>
      <c r="C24" s="117" t="s">
        <v>66</v>
      </c>
      <c r="D24" s="126">
        <v>100</v>
      </c>
      <c r="E24" s="126">
        <v>1500</v>
      </c>
      <c r="F24" s="126">
        <v>1500</v>
      </c>
      <c r="G24" s="126">
        <v>1500</v>
      </c>
      <c r="H24" s="117" t="s">
        <v>253</v>
      </c>
      <c r="I24" s="117" t="s">
        <v>254</v>
      </c>
    </row>
    <row r="25" spans="1:9" x14ac:dyDescent="0.35">
      <c r="A25" s="117" t="s">
        <v>73</v>
      </c>
      <c r="B25" s="117" t="s">
        <v>176</v>
      </c>
      <c r="C25" s="117" t="s">
        <v>66</v>
      </c>
      <c r="D25" s="126">
        <v>500</v>
      </c>
      <c r="E25" s="126">
        <v>2200</v>
      </c>
      <c r="F25" s="126">
        <v>2200</v>
      </c>
      <c r="G25" s="126">
        <v>2200</v>
      </c>
      <c r="H25" s="117" t="s">
        <v>67</v>
      </c>
      <c r="I25" s="117" t="s">
        <v>167</v>
      </c>
    </row>
    <row r="26" spans="1:9" x14ac:dyDescent="0.35">
      <c r="A26" s="117" t="s">
        <v>73</v>
      </c>
      <c r="B26" s="117" t="s">
        <v>176</v>
      </c>
      <c r="C26" s="117" t="s">
        <v>57</v>
      </c>
      <c r="D26" s="126">
        <v>500</v>
      </c>
      <c r="E26" s="126">
        <v>1700</v>
      </c>
      <c r="F26" s="126">
        <v>1700</v>
      </c>
      <c r="G26" s="126">
        <v>1700</v>
      </c>
      <c r="H26" s="117" t="s">
        <v>67</v>
      </c>
      <c r="I26" s="117" t="s">
        <v>167</v>
      </c>
    </row>
    <row r="27" spans="1:9" x14ac:dyDescent="0.35">
      <c r="A27" s="117" t="s">
        <v>75</v>
      </c>
      <c r="B27" s="117" t="s">
        <v>78</v>
      </c>
      <c r="C27" s="117" t="s">
        <v>66</v>
      </c>
      <c r="D27" s="126">
        <v>200</v>
      </c>
      <c r="E27" s="126">
        <v>20000</v>
      </c>
      <c r="F27" s="126">
        <v>20000</v>
      </c>
      <c r="G27" s="126">
        <v>20000</v>
      </c>
      <c r="H27" s="117" t="s">
        <v>177</v>
      </c>
      <c r="I27" s="117" t="s">
        <v>63</v>
      </c>
    </row>
    <row r="28" spans="1:9" x14ac:dyDescent="0.35">
      <c r="A28" s="117" t="s">
        <v>75</v>
      </c>
      <c r="B28" s="117" t="s">
        <v>78</v>
      </c>
      <c r="C28" s="117" t="s">
        <v>57</v>
      </c>
      <c r="D28" s="126">
        <v>200</v>
      </c>
      <c r="E28" s="126">
        <v>17000</v>
      </c>
      <c r="F28" s="126">
        <v>17000</v>
      </c>
      <c r="G28" s="126">
        <v>17000</v>
      </c>
      <c r="H28" s="117" t="s">
        <v>177</v>
      </c>
      <c r="I28" s="117" t="s">
        <v>63</v>
      </c>
    </row>
    <row r="29" spans="1:9" x14ac:dyDescent="0.35">
      <c r="A29" s="117" t="s">
        <v>178</v>
      </c>
      <c r="B29" s="117" t="s">
        <v>65</v>
      </c>
      <c r="C29" s="117" t="s">
        <v>66</v>
      </c>
      <c r="D29" s="126">
        <v>300</v>
      </c>
      <c r="E29" s="126">
        <v>12000</v>
      </c>
      <c r="F29" s="126">
        <v>12000</v>
      </c>
      <c r="G29" s="126">
        <v>12000</v>
      </c>
      <c r="H29" s="117" t="s">
        <v>179</v>
      </c>
      <c r="I29" s="117" t="s">
        <v>254</v>
      </c>
    </row>
    <row r="30" spans="1:9" x14ac:dyDescent="0.35">
      <c r="A30" s="117" t="s">
        <v>178</v>
      </c>
      <c r="B30" s="117" t="s">
        <v>65</v>
      </c>
      <c r="C30" s="117" t="s">
        <v>57</v>
      </c>
      <c r="D30" s="126">
        <v>200</v>
      </c>
      <c r="E30" s="126">
        <v>10000</v>
      </c>
      <c r="F30" s="126">
        <v>10000</v>
      </c>
      <c r="G30" s="126">
        <v>10000</v>
      </c>
      <c r="H30" s="117" t="s">
        <v>179</v>
      </c>
      <c r="I30" s="117" t="s">
        <v>254</v>
      </c>
    </row>
    <row r="31" spans="1:9" ht="15" thickBot="1" x14ac:dyDescent="0.4">
      <c r="A31" s="123" t="s">
        <v>181</v>
      </c>
      <c r="B31" s="123" t="s">
        <v>186</v>
      </c>
      <c r="C31" s="123" t="s">
        <v>146</v>
      </c>
      <c r="D31" s="127">
        <v>300</v>
      </c>
      <c r="E31" s="127">
        <v>900</v>
      </c>
      <c r="F31" s="127">
        <v>900</v>
      </c>
      <c r="G31" s="127">
        <v>900</v>
      </c>
      <c r="H31" s="123" t="s">
        <v>183</v>
      </c>
      <c r="I31" s="123" t="s">
        <v>99</v>
      </c>
    </row>
    <row r="32" spans="1:9" x14ac:dyDescent="0.35">
      <c r="A32" s="128" t="s">
        <v>310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39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48</v>
      </c>
      <c r="I9" s="119" t="s">
        <v>14</v>
      </c>
    </row>
    <row r="10" spans="1:9" x14ac:dyDescent="0.35">
      <c r="A10" s="122" t="s">
        <v>129</v>
      </c>
      <c r="B10" s="122" t="s">
        <v>130</v>
      </c>
      <c r="C10" s="122" t="s">
        <v>66</v>
      </c>
      <c r="D10" s="125">
        <v>120</v>
      </c>
      <c r="E10" s="125">
        <v>22000</v>
      </c>
      <c r="F10" s="125">
        <v>22000</v>
      </c>
      <c r="G10" s="125">
        <v>22000</v>
      </c>
      <c r="H10" s="122" t="s">
        <v>77</v>
      </c>
      <c r="I10" s="122" t="s">
        <v>131</v>
      </c>
    </row>
    <row r="11" spans="1:9" x14ac:dyDescent="0.35">
      <c r="A11" s="117" t="s">
        <v>137</v>
      </c>
      <c r="B11" s="117" t="s">
        <v>138</v>
      </c>
      <c r="C11" s="117" t="s">
        <v>66</v>
      </c>
      <c r="D11" s="126">
        <v>20</v>
      </c>
      <c r="E11" s="126">
        <v>18000</v>
      </c>
      <c r="F11" s="126">
        <v>18000</v>
      </c>
      <c r="G11" s="126">
        <v>18000</v>
      </c>
      <c r="H11" s="117" t="s">
        <v>139</v>
      </c>
      <c r="I11" s="117" t="s">
        <v>196</v>
      </c>
    </row>
    <row r="12" spans="1:9" x14ac:dyDescent="0.35">
      <c r="A12" s="117" t="s">
        <v>141</v>
      </c>
      <c r="B12" s="117" t="s">
        <v>65</v>
      </c>
      <c r="C12" s="117" t="s">
        <v>66</v>
      </c>
      <c r="D12" s="126">
        <v>500</v>
      </c>
      <c r="E12" s="126">
        <v>1500</v>
      </c>
      <c r="F12" s="126">
        <v>1500</v>
      </c>
      <c r="G12" s="126">
        <v>1500</v>
      </c>
      <c r="H12" s="117" t="s">
        <v>197</v>
      </c>
      <c r="I12" s="117" t="s">
        <v>143</v>
      </c>
    </row>
    <row r="13" spans="1:9" x14ac:dyDescent="0.35">
      <c r="A13" s="117" t="s">
        <v>64</v>
      </c>
      <c r="B13" s="117" t="s">
        <v>65</v>
      </c>
      <c r="C13" s="117" t="s">
        <v>66</v>
      </c>
      <c r="D13" s="126">
        <v>500</v>
      </c>
      <c r="E13" s="126">
        <v>2000</v>
      </c>
      <c r="F13" s="126">
        <v>2000</v>
      </c>
      <c r="G13" s="126">
        <v>2000</v>
      </c>
      <c r="H13" s="117" t="s">
        <v>67</v>
      </c>
      <c r="I13" s="117" t="s">
        <v>143</v>
      </c>
    </row>
    <row r="14" spans="1:9" x14ac:dyDescent="0.35">
      <c r="A14" s="117" t="s">
        <v>144</v>
      </c>
      <c r="B14" s="117" t="s">
        <v>65</v>
      </c>
      <c r="C14" s="117" t="s">
        <v>146</v>
      </c>
      <c r="D14" s="126">
        <v>500</v>
      </c>
      <c r="E14" s="126">
        <v>13000</v>
      </c>
      <c r="F14" s="126">
        <v>13000</v>
      </c>
      <c r="G14" s="126">
        <v>13000</v>
      </c>
      <c r="H14" s="117" t="s">
        <v>198</v>
      </c>
      <c r="I14" s="117" t="s">
        <v>99</v>
      </c>
    </row>
    <row r="15" spans="1:9" x14ac:dyDescent="0.35">
      <c r="A15" s="117" t="s">
        <v>150</v>
      </c>
      <c r="B15" s="117" t="s">
        <v>65</v>
      </c>
      <c r="C15" s="117" t="s">
        <v>66</v>
      </c>
      <c r="D15" s="126">
        <v>60</v>
      </c>
      <c r="E15" s="126">
        <v>10000</v>
      </c>
      <c r="F15" s="126">
        <v>10000</v>
      </c>
      <c r="G15" s="126">
        <v>10000</v>
      </c>
      <c r="H15" s="117" t="s">
        <v>151</v>
      </c>
      <c r="I15" s="117" t="s">
        <v>143</v>
      </c>
    </row>
    <row r="16" spans="1:9" x14ac:dyDescent="0.35">
      <c r="A16" s="117" t="s">
        <v>152</v>
      </c>
      <c r="B16" s="117" t="s">
        <v>65</v>
      </c>
      <c r="C16" s="117" t="s">
        <v>66</v>
      </c>
      <c r="D16" s="126">
        <v>60</v>
      </c>
      <c r="E16" s="126">
        <v>26000</v>
      </c>
      <c r="F16" s="126">
        <v>26000</v>
      </c>
      <c r="G16" s="126">
        <v>26000</v>
      </c>
      <c r="H16" s="117" t="s">
        <v>199</v>
      </c>
      <c r="I16" s="117" t="s">
        <v>143</v>
      </c>
    </row>
    <row r="17" spans="1:9" x14ac:dyDescent="0.35">
      <c r="A17" s="117" t="s">
        <v>154</v>
      </c>
      <c r="B17" s="117" t="s">
        <v>65</v>
      </c>
      <c r="C17" s="117" t="s">
        <v>66</v>
      </c>
      <c r="D17" s="126">
        <v>500</v>
      </c>
      <c r="E17" s="126">
        <v>2000</v>
      </c>
      <c r="F17" s="126">
        <v>2000</v>
      </c>
      <c r="G17" s="126">
        <v>2000</v>
      </c>
      <c r="H17" s="117" t="s">
        <v>67</v>
      </c>
      <c r="I17" s="117" t="s">
        <v>143</v>
      </c>
    </row>
    <row r="18" spans="1:9" x14ac:dyDescent="0.35">
      <c r="A18" s="117" t="s">
        <v>69</v>
      </c>
      <c r="B18" s="117" t="s">
        <v>70</v>
      </c>
      <c r="C18" s="117" t="s">
        <v>66</v>
      </c>
      <c r="D18" s="126">
        <v>150</v>
      </c>
      <c r="E18" s="126">
        <v>22000</v>
      </c>
      <c r="F18" s="126">
        <v>22000</v>
      </c>
      <c r="G18" s="126">
        <v>22000</v>
      </c>
      <c r="H18" s="117" t="s">
        <v>159</v>
      </c>
      <c r="I18" s="117" t="s">
        <v>196</v>
      </c>
    </row>
    <row r="19" spans="1:9" x14ac:dyDescent="0.35">
      <c r="A19" s="117" t="s">
        <v>160</v>
      </c>
      <c r="B19" s="117" t="s">
        <v>200</v>
      </c>
      <c r="C19" s="117" t="s">
        <v>146</v>
      </c>
      <c r="D19" s="126">
        <v>400</v>
      </c>
      <c r="E19" s="126">
        <v>15000</v>
      </c>
      <c r="F19" s="126">
        <v>14000</v>
      </c>
      <c r="G19" s="126">
        <v>14500</v>
      </c>
      <c r="H19" s="117" t="s">
        <v>162</v>
      </c>
      <c r="I19" s="117" t="s">
        <v>201</v>
      </c>
    </row>
    <row r="20" spans="1:9" x14ac:dyDescent="0.35">
      <c r="A20" s="117" t="s">
        <v>171</v>
      </c>
      <c r="B20" s="117" t="s">
        <v>202</v>
      </c>
      <c r="C20" s="117" t="s">
        <v>66</v>
      </c>
      <c r="D20" s="126">
        <v>60</v>
      </c>
      <c r="E20" s="126">
        <v>24000</v>
      </c>
      <c r="F20" s="126">
        <v>24000</v>
      </c>
      <c r="G20" s="126">
        <v>24000</v>
      </c>
      <c r="H20" s="117" t="s">
        <v>121</v>
      </c>
      <c r="I20" s="117" t="s">
        <v>135</v>
      </c>
    </row>
    <row r="21" spans="1:9" x14ac:dyDescent="0.35">
      <c r="A21" s="117" t="s">
        <v>73</v>
      </c>
      <c r="B21" s="117" t="s">
        <v>176</v>
      </c>
      <c r="C21" s="117" t="s">
        <v>66</v>
      </c>
      <c r="D21" s="126">
        <v>500</v>
      </c>
      <c r="E21" s="126">
        <v>3000</v>
      </c>
      <c r="F21" s="126">
        <v>3000</v>
      </c>
      <c r="G21" s="126">
        <v>3000</v>
      </c>
      <c r="H21" s="117" t="s">
        <v>67</v>
      </c>
      <c r="I21" s="117" t="s">
        <v>143</v>
      </c>
    </row>
    <row r="22" spans="1:9" x14ac:dyDescent="0.35">
      <c r="A22" s="117" t="s">
        <v>75</v>
      </c>
      <c r="B22" s="117" t="s">
        <v>78</v>
      </c>
      <c r="C22" s="117" t="s">
        <v>203</v>
      </c>
      <c r="D22" s="126">
        <v>120</v>
      </c>
      <c r="E22" s="126">
        <v>26000</v>
      </c>
      <c r="F22" s="126">
        <v>26000</v>
      </c>
      <c r="G22" s="126">
        <v>26000</v>
      </c>
      <c r="H22" s="117" t="s">
        <v>177</v>
      </c>
      <c r="I22" s="117" t="s">
        <v>63</v>
      </c>
    </row>
    <row r="23" spans="1:9" x14ac:dyDescent="0.35">
      <c r="A23" s="117" t="s">
        <v>75</v>
      </c>
      <c r="B23" s="117" t="s">
        <v>78</v>
      </c>
      <c r="C23" s="117" t="s">
        <v>66</v>
      </c>
      <c r="D23" s="126">
        <v>120</v>
      </c>
      <c r="E23" s="126">
        <v>25000</v>
      </c>
      <c r="F23" s="126">
        <v>25000</v>
      </c>
      <c r="G23" s="126">
        <v>25000</v>
      </c>
      <c r="H23" s="117" t="s">
        <v>177</v>
      </c>
      <c r="I23" s="117" t="s">
        <v>63</v>
      </c>
    </row>
    <row r="24" spans="1:9" x14ac:dyDescent="0.35">
      <c r="A24" s="117" t="s">
        <v>178</v>
      </c>
      <c r="B24" s="117" t="s">
        <v>65</v>
      </c>
      <c r="C24" s="117" t="s">
        <v>66</v>
      </c>
      <c r="D24" s="126">
        <v>300</v>
      </c>
      <c r="E24" s="126">
        <v>20000</v>
      </c>
      <c r="F24" s="126">
        <v>20000</v>
      </c>
      <c r="G24" s="126">
        <v>20000</v>
      </c>
      <c r="H24" s="117" t="s">
        <v>179</v>
      </c>
      <c r="I24" s="117" t="s">
        <v>163</v>
      </c>
    </row>
    <row r="25" spans="1:9" ht="15" thickBot="1" x14ac:dyDescent="0.4">
      <c r="A25" s="123" t="s">
        <v>181</v>
      </c>
      <c r="B25" s="123" t="s">
        <v>186</v>
      </c>
      <c r="C25" s="123" t="s">
        <v>146</v>
      </c>
      <c r="D25" s="127">
        <v>500</v>
      </c>
      <c r="E25" s="127">
        <v>1500</v>
      </c>
      <c r="F25" s="127">
        <v>1500</v>
      </c>
      <c r="G25" s="127">
        <v>1500</v>
      </c>
      <c r="H25" s="123" t="s">
        <v>183</v>
      </c>
      <c r="I25" s="123" t="s">
        <v>99</v>
      </c>
    </row>
    <row r="26" spans="1:9" x14ac:dyDescent="0.35">
      <c r="A26" s="128" t="s">
        <v>310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6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38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127</v>
      </c>
      <c r="B10" s="122" t="s">
        <v>65</v>
      </c>
      <c r="C10" s="122" t="s">
        <v>66</v>
      </c>
      <c r="D10" s="125">
        <v>80</v>
      </c>
      <c r="E10" s="125">
        <v>12000</v>
      </c>
      <c r="F10" s="125">
        <v>12000</v>
      </c>
      <c r="G10" s="125">
        <v>12000</v>
      </c>
      <c r="H10" s="122" t="s">
        <v>286</v>
      </c>
      <c r="I10" s="122" t="s">
        <v>287</v>
      </c>
    </row>
    <row r="11" spans="1:9" x14ac:dyDescent="0.35">
      <c r="A11" s="117" t="s">
        <v>288</v>
      </c>
      <c r="B11" s="117" t="s">
        <v>65</v>
      </c>
      <c r="C11" s="117" t="s">
        <v>66</v>
      </c>
      <c r="D11" s="126">
        <v>80</v>
      </c>
      <c r="E11" s="126">
        <v>15000</v>
      </c>
      <c r="F11" s="126">
        <v>15000</v>
      </c>
      <c r="G11" s="126">
        <v>15000</v>
      </c>
      <c r="H11" s="117" t="s">
        <v>72</v>
      </c>
      <c r="I11" s="117" t="s">
        <v>167</v>
      </c>
    </row>
    <row r="12" spans="1:9" x14ac:dyDescent="0.35">
      <c r="A12" s="117" t="s">
        <v>129</v>
      </c>
      <c r="B12" s="117" t="s">
        <v>130</v>
      </c>
      <c r="C12" s="117" t="s">
        <v>66</v>
      </c>
      <c r="D12" s="126">
        <v>500</v>
      </c>
      <c r="E12" s="126">
        <v>19000</v>
      </c>
      <c r="F12" s="126">
        <v>19000</v>
      </c>
      <c r="G12" s="126">
        <v>19000</v>
      </c>
      <c r="H12" s="117" t="s">
        <v>77</v>
      </c>
      <c r="I12" s="117" t="s">
        <v>131</v>
      </c>
    </row>
    <row r="13" spans="1:9" x14ac:dyDescent="0.35">
      <c r="A13" s="117" t="s">
        <v>129</v>
      </c>
      <c r="B13" s="117" t="s">
        <v>130</v>
      </c>
      <c r="C13" s="117" t="s">
        <v>66</v>
      </c>
      <c r="D13" s="126">
        <v>400</v>
      </c>
      <c r="E13" s="126">
        <v>19000</v>
      </c>
      <c r="F13" s="126">
        <v>19000</v>
      </c>
      <c r="G13" s="126">
        <v>19000</v>
      </c>
      <c r="H13" s="117" t="s">
        <v>107</v>
      </c>
      <c r="I13" s="117" t="s">
        <v>131</v>
      </c>
    </row>
    <row r="14" spans="1:9" x14ac:dyDescent="0.35">
      <c r="A14" s="117" t="s">
        <v>60</v>
      </c>
      <c r="B14" s="117" t="s">
        <v>289</v>
      </c>
      <c r="C14" s="117" t="s">
        <v>66</v>
      </c>
      <c r="D14" s="126">
        <v>20</v>
      </c>
      <c r="E14" s="126">
        <v>45000</v>
      </c>
      <c r="F14" s="126">
        <v>45000</v>
      </c>
      <c r="G14" s="126">
        <v>45000</v>
      </c>
      <c r="H14" s="117" t="s">
        <v>62</v>
      </c>
      <c r="I14" s="117" t="s">
        <v>63</v>
      </c>
    </row>
    <row r="15" spans="1:9" x14ac:dyDescent="0.35">
      <c r="A15" s="117" t="s">
        <v>132</v>
      </c>
      <c r="B15" s="117" t="s">
        <v>290</v>
      </c>
      <c r="C15" s="117" t="s">
        <v>203</v>
      </c>
      <c r="D15" s="126">
        <v>1000</v>
      </c>
      <c r="E15" s="126">
        <v>400</v>
      </c>
      <c r="F15" s="126">
        <v>400</v>
      </c>
      <c r="G15" s="126">
        <v>400</v>
      </c>
      <c r="H15" s="117" t="s">
        <v>67</v>
      </c>
      <c r="I15" s="117" t="s">
        <v>167</v>
      </c>
    </row>
    <row r="16" spans="1:9" x14ac:dyDescent="0.35">
      <c r="A16" s="117" t="s">
        <v>137</v>
      </c>
      <c r="B16" s="117" t="s">
        <v>138</v>
      </c>
      <c r="C16" s="117" t="s">
        <v>66</v>
      </c>
      <c r="D16" s="126">
        <v>15</v>
      </c>
      <c r="E16" s="126">
        <v>25000</v>
      </c>
      <c r="F16" s="126">
        <v>25000</v>
      </c>
      <c r="G16" s="126">
        <v>25000</v>
      </c>
      <c r="H16" s="117" t="s">
        <v>139</v>
      </c>
      <c r="I16" s="117" t="s">
        <v>215</v>
      </c>
    </row>
    <row r="17" spans="1:9" x14ac:dyDescent="0.35">
      <c r="A17" s="117" t="s">
        <v>140</v>
      </c>
      <c r="B17" s="117" t="s">
        <v>65</v>
      </c>
      <c r="C17" s="117" t="s">
        <v>66</v>
      </c>
      <c r="D17" s="126">
        <v>170</v>
      </c>
      <c r="E17" s="126">
        <v>16000</v>
      </c>
      <c r="F17" s="126">
        <v>15000</v>
      </c>
      <c r="G17" s="126">
        <v>15471</v>
      </c>
      <c r="H17" s="117" t="s">
        <v>136</v>
      </c>
      <c r="I17" s="117" t="s">
        <v>63</v>
      </c>
    </row>
    <row r="18" spans="1:9" x14ac:dyDescent="0.35">
      <c r="A18" s="117" t="s">
        <v>182</v>
      </c>
      <c r="B18" s="117" t="s">
        <v>65</v>
      </c>
      <c r="C18" s="117" t="s">
        <v>66</v>
      </c>
      <c r="D18" s="126">
        <v>50</v>
      </c>
      <c r="E18" s="126">
        <v>28000</v>
      </c>
      <c r="F18" s="126">
        <v>28000</v>
      </c>
      <c r="G18" s="126">
        <v>28000</v>
      </c>
      <c r="H18" s="117" t="s">
        <v>247</v>
      </c>
      <c r="I18" s="117" t="s">
        <v>59</v>
      </c>
    </row>
    <row r="19" spans="1:9" x14ac:dyDescent="0.35">
      <c r="A19" s="117" t="s">
        <v>144</v>
      </c>
      <c r="B19" s="117" t="s">
        <v>145</v>
      </c>
      <c r="C19" s="117" t="s">
        <v>146</v>
      </c>
      <c r="D19" s="126">
        <v>140</v>
      </c>
      <c r="E19" s="126">
        <v>15000</v>
      </c>
      <c r="F19" s="126">
        <v>15000</v>
      </c>
      <c r="G19" s="126">
        <v>15000</v>
      </c>
      <c r="H19" s="117" t="s">
        <v>148</v>
      </c>
      <c r="I19" s="117" t="s">
        <v>167</v>
      </c>
    </row>
    <row r="20" spans="1:9" x14ac:dyDescent="0.35">
      <c r="A20" s="117" t="s">
        <v>144</v>
      </c>
      <c r="B20" s="117" t="s">
        <v>65</v>
      </c>
      <c r="C20" s="117" t="s">
        <v>146</v>
      </c>
      <c r="D20" s="126">
        <v>1500</v>
      </c>
      <c r="E20" s="126">
        <v>8000</v>
      </c>
      <c r="F20" s="126">
        <v>7000</v>
      </c>
      <c r="G20" s="126">
        <v>7467</v>
      </c>
      <c r="H20" s="117" t="s">
        <v>148</v>
      </c>
      <c r="I20" s="117" t="s">
        <v>167</v>
      </c>
    </row>
    <row r="21" spans="1:9" x14ac:dyDescent="0.35">
      <c r="A21" s="117" t="s">
        <v>144</v>
      </c>
      <c r="B21" s="117" t="s">
        <v>65</v>
      </c>
      <c r="C21" s="117" t="s">
        <v>237</v>
      </c>
      <c r="D21" s="126">
        <v>100</v>
      </c>
      <c r="E21" s="126">
        <v>7000</v>
      </c>
      <c r="F21" s="126">
        <v>7000</v>
      </c>
      <c r="G21" s="126">
        <v>7000</v>
      </c>
      <c r="H21" s="117" t="s">
        <v>148</v>
      </c>
      <c r="I21" s="117" t="s">
        <v>167</v>
      </c>
    </row>
    <row r="22" spans="1:9" x14ac:dyDescent="0.35">
      <c r="A22" s="117" t="s">
        <v>150</v>
      </c>
      <c r="B22" s="117" t="s">
        <v>65</v>
      </c>
      <c r="C22" s="117" t="s">
        <v>66</v>
      </c>
      <c r="D22" s="126">
        <v>80</v>
      </c>
      <c r="E22" s="126">
        <v>13000</v>
      </c>
      <c r="F22" s="126">
        <v>13000</v>
      </c>
      <c r="G22" s="126">
        <v>13000</v>
      </c>
      <c r="H22" s="117" t="s">
        <v>291</v>
      </c>
      <c r="I22" s="117" t="s">
        <v>287</v>
      </c>
    </row>
    <row r="23" spans="1:9" x14ac:dyDescent="0.35">
      <c r="A23" s="117" t="s">
        <v>238</v>
      </c>
      <c r="B23" s="117" t="s">
        <v>65</v>
      </c>
      <c r="C23" s="117" t="s">
        <v>66</v>
      </c>
      <c r="D23" s="126">
        <v>40</v>
      </c>
      <c r="E23" s="126">
        <v>8000</v>
      </c>
      <c r="F23" s="126">
        <v>8000</v>
      </c>
      <c r="G23" s="126">
        <v>8000</v>
      </c>
      <c r="H23" s="117" t="s">
        <v>235</v>
      </c>
      <c r="I23" s="117" t="s">
        <v>287</v>
      </c>
    </row>
    <row r="24" spans="1:9" x14ac:dyDescent="0.35">
      <c r="A24" s="117" t="s">
        <v>152</v>
      </c>
      <c r="B24" s="117" t="s">
        <v>65</v>
      </c>
      <c r="C24" s="117" t="s">
        <v>66</v>
      </c>
      <c r="D24" s="126">
        <v>35</v>
      </c>
      <c r="E24" s="126">
        <v>8000</v>
      </c>
      <c r="F24" s="126">
        <v>8000</v>
      </c>
      <c r="G24" s="126">
        <v>8000</v>
      </c>
      <c r="H24" s="117" t="s">
        <v>292</v>
      </c>
      <c r="I24" s="117" t="s">
        <v>167</v>
      </c>
    </row>
    <row r="25" spans="1:9" x14ac:dyDescent="0.35">
      <c r="A25" s="117" t="s">
        <v>156</v>
      </c>
      <c r="B25" s="117" t="s">
        <v>65</v>
      </c>
      <c r="C25" s="117" t="s">
        <v>66</v>
      </c>
      <c r="D25" s="126">
        <v>50</v>
      </c>
      <c r="E25" s="126">
        <v>14000</v>
      </c>
      <c r="F25" s="126">
        <v>14000</v>
      </c>
      <c r="G25" s="126">
        <v>14000</v>
      </c>
      <c r="H25" s="117" t="s">
        <v>291</v>
      </c>
      <c r="I25" s="117" t="s">
        <v>163</v>
      </c>
    </row>
    <row r="26" spans="1:9" x14ac:dyDescent="0.35">
      <c r="A26" s="117" t="s">
        <v>293</v>
      </c>
      <c r="B26" s="117" t="s">
        <v>65</v>
      </c>
      <c r="C26" s="117" t="s">
        <v>66</v>
      </c>
      <c r="D26" s="126">
        <v>70</v>
      </c>
      <c r="E26" s="126">
        <v>30000</v>
      </c>
      <c r="F26" s="126">
        <v>30000</v>
      </c>
      <c r="G26" s="126">
        <v>30000</v>
      </c>
      <c r="H26" s="117" t="s">
        <v>294</v>
      </c>
      <c r="I26" s="117" t="s">
        <v>59</v>
      </c>
    </row>
    <row r="27" spans="1:9" x14ac:dyDescent="0.35">
      <c r="A27" s="117" t="s">
        <v>69</v>
      </c>
      <c r="B27" s="117" t="s">
        <v>157</v>
      </c>
      <c r="C27" s="117" t="s">
        <v>66</v>
      </c>
      <c r="D27" s="126">
        <v>1130</v>
      </c>
      <c r="E27" s="126">
        <v>15000</v>
      </c>
      <c r="F27" s="126">
        <v>10000</v>
      </c>
      <c r="G27" s="126">
        <v>11850</v>
      </c>
      <c r="H27" s="117" t="s">
        <v>158</v>
      </c>
      <c r="I27" s="117" t="s">
        <v>143</v>
      </c>
    </row>
    <row r="28" spans="1:9" x14ac:dyDescent="0.35">
      <c r="A28" s="117" t="s">
        <v>69</v>
      </c>
      <c r="B28" s="117" t="s">
        <v>157</v>
      </c>
      <c r="C28" s="117" t="s">
        <v>57</v>
      </c>
      <c r="D28" s="126">
        <v>120</v>
      </c>
      <c r="E28" s="126">
        <v>10000</v>
      </c>
      <c r="F28" s="126">
        <v>10000</v>
      </c>
      <c r="G28" s="126">
        <v>10000</v>
      </c>
      <c r="H28" s="117" t="s">
        <v>158</v>
      </c>
      <c r="I28" s="117" t="s">
        <v>167</v>
      </c>
    </row>
    <row r="29" spans="1:9" x14ac:dyDescent="0.35">
      <c r="A29" s="117" t="s">
        <v>69</v>
      </c>
      <c r="B29" s="117" t="s">
        <v>70</v>
      </c>
      <c r="C29" s="117" t="s">
        <v>66</v>
      </c>
      <c r="D29" s="126">
        <v>90</v>
      </c>
      <c r="E29" s="126">
        <v>24000</v>
      </c>
      <c r="F29" s="126">
        <v>24000</v>
      </c>
      <c r="G29" s="126">
        <v>24000</v>
      </c>
      <c r="H29" s="117" t="s">
        <v>159</v>
      </c>
      <c r="I29" s="117" t="s">
        <v>215</v>
      </c>
    </row>
    <row r="30" spans="1:9" x14ac:dyDescent="0.35">
      <c r="A30" s="117" t="s">
        <v>69</v>
      </c>
      <c r="B30" s="117" t="s">
        <v>70</v>
      </c>
      <c r="C30" s="117" t="s">
        <v>66</v>
      </c>
      <c r="D30" s="126">
        <v>310</v>
      </c>
      <c r="E30" s="126">
        <v>25000</v>
      </c>
      <c r="F30" s="126">
        <v>25000</v>
      </c>
      <c r="G30" s="126">
        <v>25000</v>
      </c>
      <c r="H30" s="117" t="s">
        <v>159</v>
      </c>
      <c r="I30" s="117" t="s">
        <v>143</v>
      </c>
    </row>
    <row r="31" spans="1:9" x14ac:dyDescent="0.35">
      <c r="A31" s="117" t="s">
        <v>69</v>
      </c>
      <c r="B31" s="117" t="s">
        <v>70</v>
      </c>
      <c r="C31" s="117" t="s">
        <v>57</v>
      </c>
      <c r="D31" s="126">
        <v>100</v>
      </c>
      <c r="E31" s="126">
        <v>18000</v>
      </c>
      <c r="F31" s="126">
        <v>18000</v>
      </c>
      <c r="G31" s="126">
        <v>18000</v>
      </c>
      <c r="H31" s="117" t="s">
        <v>159</v>
      </c>
      <c r="I31" s="117" t="s">
        <v>215</v>
      </c>
    </row>
    <row r="32" spans="1:9" x14ac:dyDescent="0.35">
      <c r="A32" s="117" t="s">
        <v>69</v>
      </c>
      <c r="B32" s="117" t="s">
        <v>133</v>
      </c>
      <c r="C32" s="117" t="s">
        <v>66</v>
      </c>
      <c r="D32" s="126">
        <v>500</v>
      </c>
      <c r="E32" s="126">
        <v>10000</v>
      </c>
      <c r="F32" s="126">
        <v>10000</v>
      </c>
      <c r="G32" s="126">
        <v>10000</v>
      </c>
      <c r="H32" s="117" t="s">
        <v>159</v>
      </c>
      <c r="I32" s="117" t="s">
        <v>143</v>
      </c>
    </row>
    <row r="33" spans="1:9" x14ac:dyDescent="0.35">
      <c r="A33" s="117" t="s">
        <v>69</v>
      </c>
      <c r="B33" s="117" t="s">
        <v>216</v>
      </c>
      <c r="C33" s="117" t="s">
        <v>66</v>
      </c>
      <c r="D33" s="126">
        <v>820</v>
      </c>
      <c r="E33" s="126">
        <v>13000</v>
      </c>
      <c r="F33" s="126">
        <v>10000</v>
      </c>
      <c r="G33" s="126">
        <v>11829</v>
      </c>
      <c r="H33" s="117" t="s">
        <v>159</v>
      </c>
      <c r="I33" s="117" t="s">
        <v>143</v>
      </c>
    </row>
    <row r="34" spans="1:9" x14ac:dyDescent="0.35">
      <c r="A34" s="117" t="s">
        <v>69</v>
      </c>
      <c r="B34" s="117" t="s">
        <v>216</v>
      </c>
      <c r="C34" s="117" t="s">
        <v>66</v>
      </c>
      <c r="D34" s="126">
        <v>100</v>
      </c>
      <c r="E34" s="126">
        <v>11000</v>
      </c>
      <c r="F34" s="126">
        <v>11000</v>
      </c>
      <c r="G34" s="126">
        <v>11000</v>
      </c>
      <c r="H34" s="117" t="s">
        <v>159</v>
      </c>
      <c r="I34" s="117" t="s">
        <v>167</v>
      </c>
    </row>
    <row r="35" spans="1:9" x14ac:dyDescent="0.35">
      <c r="A35" s="117" t="s">
        <v>295</v>
      </c>
      <c r="B35" s="117" t="s">
        <v>65</v>
      </c>
      <c r="C35" s="117" t="s">
        <v>66</v>
      </c>
      <c r="D35" s="126">
        <v>40</v>
      </c>
      <c r="E35" s="126">
        <v>50000</v>
      </c>
      <c r="F35" s="126">
        <v>50000</v>
      </c>
      <c r="G35" s="126">
        <v>50000</v>
      </c>
      <c r="H35" s="117" t="s">
        <v>247</v>
      </c>
      <c r="I35" s="117" t="s">
        <v>63</v>
      </c>
    </row>
    <row r="36" spans="1:9" x14ac:dyDescent="0.35">
      <c r="A36" s="117" t="s">
        <v>160</v>
      </c>
      <c r="B36" s="117" t="s">
        <v>244</v>
      </c>
      <c r="C36" s="117" t="s">
        <v>146</v>
      </c>
      <c r="D36" s="126">
        <v>800</v>
      </c>
      <c r="E36" s="126">
        <v>15000</v>
      </c>
      <c r="F36" s="126">
        <v>14000</v>
      </c>
      <c r="G36" s="126">
        <v>14750</v>
      </c>
      <c r="H36" s="117" t="s">
        <v>175</v>
      </c>
      <c r="I36" s="117" t="s">
        <v>287</v>
      </c>
    </row>
    <row r="37" spans="1:9" x14ac:dyDescent="0.35">
      <c r="A37" s="117" t="s">
        <v>168</v>
      </c>
      <c r="B37" s="117" t="s">
        <v>296</v>
      </c>
      <c r="C37" s="117" t="s">
        <v>66</v>
      </c>
      <c r="D37" s="126">
        <v>40</v>
      </c>
      <c r="E37" s="126">
        <v>30000</v>
      </c>
      <c r="F37" s="126">
        <v>30000</v>
      </c>
      <c r="G37" s="126">
        <v>30000</v>
      </c>
      <c r="H37" s="117" t="s">
        <v>188</v>
      </c>
      <c r="I37" s="117" t="s">
        <v>63</v>
      </c>
    </row>
    <row r="38" spans="1:9" x14ac:dyDescent="0.35">
      <c r="A38" s="117" t="s">
        <v>168</v>
      </c>
      <c r="B38" s="117" t="s">
        <v>65</v>
      </c>
      <c r="C38" s="117" t="s">
        <v>66</v>
      </c>
      <c r="D38" s="126">
        <v>420</v>
      </c>
      <c r="E38" s="126">
        <v>19000</v>
      </c>
      <c r="F38" s="126">
        <v>15000</v>
      </c>
      <c r="G38" s="126">
        <v>16524</v>
      </c>
      <c r="H38" s="117" t="s">
        <v>188</v>
      </c>
      <c r="I38" s="117" t="s">
        <v>63</v>
      </c>
    </row>
    <row r="39" spans="1:9" x14ac:dyDescent="0.35">
      <c r="A39" s="117" t="s">
        <v>245</v>
      </c>
      <c r="B39" s="117" t="s">
        <v>65</v>
      </c>
      <c r="C39" s="117" t="s">
        <v>66</v>
      </c>
      <c r="D39" s="126">
        <v>60</v>
      </c>
      <c r="E39" s="126">
        <v>8000</v>
      </c>
      <c r="F39" s="126">
        <v>8000</v>
      </c>
      <c r="G39" s="126">
        <v>8000</v>
      </c>
      <c r="H39" s="117" t="s">
        <v>153</v>
      </c>
      <c r="I39" s="117" t="s">
        <v>287</v>
      </c>
    </row>
    <row r="40" spans="1:9" x14ac:dyDescent="0.35">
      <c r="A40" s="117" t="s">
        <v>171</v>
      </c>
      <c r="B40" s="117" t="s">
        <v>202</v>
      </c>
      <c r="C40" s="117" t="s">
        <v>66</v>
      </c>
      <c r="D40" s="126">
        <v>120</v>
      </c>
      <c r="E40" s="126">
        <v>25000</v>
      </c>
      <c r="F40" s="126">
        <v>18000</v>
      </c>
      <c r="G40" s="126">
        <v>20917</v>
      </c>
      <c r="H40" s="117" t="s">
        <v>247</v>
      </c>
      <c r="I40" s="117" t="s">
        <v>135</v>
      </c>
    </row>
    <row r="41" spans="1:9" x14ac:dyDescent="0.35">
      <c r="A41" s="117" t="s">
        <v>171</v>
      </c>
      <c r="B41" s="117" t="s">
        <v>278</v>
      </c>
      <c r="C41" s="117" t="s">
        <v>66</v>
      </c>
      <c r="D41" s="126">
        <v>100</v>
      </c>
      <c r="E41" s="126">
        <v>25000</v>
      </c>
      <c r="F41" s="126">
        <v>25000</v>
      </c>
      <c r="G41" s="126">
        <v>25000</v>
      </c>
      <c r="H41" s="117" t="s">
        <v>62</v>
      </c>
      <c r="I41" s="117" t="s">
        <v>63</v>
      </c>
    </row>
    <row r="42" spans="1:9" x14ac:dyDescent="0.35">
      <c r="A42" s="117" t="s">
        <v>171</v>
      </c>
      <c r="B42" s="117" t="s">
        <v>172</v>
      </c>
      <c r="C42" s="117" t="s">
        <v>66</v>
      </c>
      <c r="D42" s="126">
        <v>400</v>
      </c>
      <c r="E42" s="126">
        <v>25000</v>
      </c>
      <c r="F42" s="126">
        <v>20000</v>
      </c>
      <c r="G42" s="126">
        <v>21250</v>
      </c>
      <c r="H42" s="117" t="s">
        <v>62</v>
      </c>
      <c r="I42" s="117" t="s">
        <v>63</v>
      </c>
    </row>
    <row r="43" spans="1:9" x14ac:dyDescent="0.35">
      <c r="A43" s="117" t="s">
        <v>171</v>
      </c>
      <c r="B43" s="117" t="s">
        <v>173</v>
      </c>
      <c r="C43" s="117" t="s">
        <v>66</v>
      </c>
      <c r="D43" s="126">
        <v>300</v>
      </c>
      <c r="E43" s="126">
        <v>25000</v>
      </c>
      <c r="F43" s="126">
        <v>20000</v>
      </c>
      <c r="G43" s="126">
        <v>22000</v>
      </c>
      <c r="H43" s="117" t="s">
        <v>62</v>
      </c>
      <c r="I43" s="117" t="s">
        <v>63</v>
      </c>
    </row>
    <row r="44" spans="1:9" x14ac:dyDescent="0.35">
      <c r="A44" s="117" t="s">
        <v>297</v>
      </c>
      <c r="B44" s="117" t="s">
        <v>298</v>
      </c>
      <c r="C44" s="117" t="s">
        <v>66</v>
      </c>
      <c r="D44" s="126">
        <v>30</v>
      </c>
      <c r="E44" s="126">
        <v>20000</v>
      </c>
      <c r="F44" s="126">
        <v>20000</v>
      </c>
      <c r="G44" s="126">
        <v>20000</v>
      </c>
      <c r="H44" s="117" t="s">
        <v>291</v>
      </c>
      <c r="I44" s="117" t="s">
        <v>287</v>
      </c>
    </row>
    <row r="45" spans="1:9" x14ac:dyDescent="0.35">
      <c r="A45" s="117" t="s">
        <v>299</v>
      </c>
      <c r="B45" s="117" t="s">
        <v>65</v>
      </c>
      <c r="C45" s="117" t="s">
        <v>66</v>
      </c>
      <c r="D45" s="126">
        <v>80</v>
      </c>
      <c r="E45" s="126">
        <v>8000</v>
      </c>
      <c r="F45" s="126">
        <v>8000</v>
      </c>
      <c r="G45" s="126">
        <v>8000</v>
      </c>
      <c r="H45" s="117" t="s">
        <v>291</v>
      </c>
      <c r="I45" s="117" t="s">
        <v>287</v>
      </c>
    </row>
    <row r="46" spans="1:9" x14ac:dyDescent="0.35">
      <c r="A46" s="117" t="s">
        <v>300</v>
      </c>
      <c r="B46" s="117" t="s">
        <v>65</v>
      </c>
      <c r="C46" s="117" t="s">
        <v>66</v>
      </c>
      <c r="D46" s="126">
        <v>20</v>
      </c>
      <c r="E46" s="126">
        <v>8000</v>
      </c>
      <c r="F46" s="126">
        <v>8000</v>
      </c>
      <c r="G46" s="126">
        <v>8000</v>
      </c>
      <c r="H46" s="117" t="s">
        <v>301</v>
      </c>
      <c r="I46" s="117" t="s">
        <v>163</v>
      </c>
    </row>
    <row r="47" spans="1:9" x14ac:dyDescent="0.35">
      <c r="A47" s="117" t="s">
        <v>73</v>
      </c>
      <c r="B47" s="117" t="s">
        <v>176</v>
      </c>
      <c r="C47" s="117" t="s">
        <v>66</v>
      </c>
      <c r="D47" s="126">
        <v>1400</v>
      </c>
      <c r="E47" s="126">
        <v>2500</v>
      </c>
      <c r="F47" s="126">
        <v>2500</v>
      </c>
      <c r="G47" s="126">
        <v>2500</v>
      </c>
      <c r="H47" s="117" t="s">
        <v>67</v>
      </c>
      <c r="I47" s="117" t="s">
        <v>143</v>
      </c>
    </row>
    <row r="48" spans="1:9" x14ac:dyDescent="0.35">
      <c r="A48" s="117" t="s">
        <v>73</v>
      </c>
      <c r="B48" s="117" t="s">
        <v>176</v>
      </c>
      <c r="C48" s="117" t="s">
        <v>66</v>
      </c>
      <c r="D48" s="126">
        <v>1000</v>
      </c>
      <c r="E48" s="126">
        <v>2500</v>
      </c>
      <c r="F48" s="126">
        <v>2500</v>
      </c>
      <c r="G48" s="126">
        <v>2500</v>
      </c>
      <c r="H48" s="117" t="s">
        <v>67</v>
      </c>
      <c r="I48" s="117" t="s">
        <v>167</v>
      </c>
    </row>
    <row r="49" spans="1:9" x14ac:dyDescent="0.35">
      <c r="A49" s="117" t="s">
        <v>75</v>
      </c>
      <c r="B49" s="117" t="s">
        <v>76</v>
      </c>
      <c r="C49" s="117" t="s">
        <v>66</v>
      </c>
      <c r="D49" s="126">
        <v>140</v>
      </c>
      <c r="E49" s="126">
        <v>35000</v>
      </c>
      <c r="F49" s="126">
        <v>26000</v>
      </c>
      <c r="G49" s="126">
        <v>30500</v>
      </c>
      <c r="H49" s="117" t="s">
        <v>177</v>
      </c>
      <c r="I49" s="117" t="s">
        <v>63</v>
      </c>
    </row>
    <row r="50" spans="1:9" x14ac:dyDescent="0.35">
      <c r="A50" s="117" t="s">
        <v>75</v>
      </c>
      <c r="B50" s="117" t="s">
        <v>76</v>
      </c>
      <c r="C50" s="117" t="s">
        <v>66</v>
      </c>
      <c r="D50" s="126">
        <v>90</v>
      </c>
      <c r="E50" s="126">
        <v>14000</v>
      </c>
      <c r="F50" s="126">
        <v>14000</v>
      </c>
      <c r="G50" s="126">
        <v>14000</v>
      </c>
      <c r="H50" s="117" t="s">
        <v>77</v>
      </c>
      <c r="I50" s="117" t="s">
        <v>63</v>
      </c>
    </row>
    <row r="51" spans="1:9" x14ac:dyDescent="0.35">
      <c r="A51" s="117" t="s">
        <v>75</v>
      </c>
      <c r="B51" s="117" t="s">
        <v>78</v>
      </c>
      <c r="C51" s="117" t="s">
        <v>203</v>
      </c>
      <c r="D51" s="126">
        <v>188</v>
      </c>
      <c r="E51" s="126">
        <v>25000</v>
      </c>
      <c r="F51" s="126">
        <v>24000</v>
      </c>
      <c r="G51" s="126">
        <v>24335</v>
      </c>
      <c r="H51" s="117" t="s">
        <v>177</v>
      </c>
      <c r="I51" s="117" t="s">
        <v>63</v>
      </c>
    </row>
    <row r="52" spans="1:9" x14ac:dyDescent="0.35">
      <c r="A52" s="117" t="s">
        <v>75</v>
      </c>
      <c r="B52" s="117" t="s">
        <v>78</v>
      </c>
      <c r="C52" s="117" t="s">
        <v>66</v>
      </c>
      <c r="D52" s="126">
        <v>600</v>
      </c>
      <c r="E52" s="126">
        <v>20000</v>
      </c>
      <c r="F52" s="126">
        <v>20000</v>
      </c>
      <c r="G52" s="126">
        <v>20000</v>
      </c>
      <c r="H52" s="117" t="s">
        <v>177</v>
      </c>
      <c r="I52" s="117" t="s">
        <v>63</v>
      </c>
    </row>
    <row r="53" spans="1:9" x14ac:dyDescent="0.35">
      <c r="A53" s="117" t="s">
        <v>75</v>
      </c>
      <c r="B53" s="117" t="s">
        <v>78</v>
      </c>
      <c r="C53" s="117" t="s">
        <v>66</v>
      </c>
      <c r="D53" s="126">
        <v>420</v>
      </c>
      <c r="E53" s="126">
        <v>24000</v>
      </c>
      <c r="F53" s="126">
        <v>24000</v>
      </c>
      <c r="G53" s="126">
        <v>24000</v>
      </c>
      <c r="H53" s="117" t="s">
        <v>247</v>
      </c>
      <c r="I53" s="117" t="s">
        <v>63</v>
      </c>
    </row>
    <row r="54" spans="1:9" x14ac:dyDescent="0.35">
      <c r="A54" s="117" t="s">
        <v>75</v>
      </c>
      <c r="B54" s="117" t="s">
        <v>302</v>
      </c>
      <c r="C54" s="117" t="s">
        <v>66</v>
      </c>
      <c r="D54" s="126">
        <v>120</v>
      </c>
      <c r="E54" s="126">
        <v>24000</v>
      </c>
      <c r="F54" s="126">
        <v>24000</v>
      </c>
      <c r="G54" s="126">
        <v>24000</v>
      </c>
      <c r="H54" s="117" t="s">
        <v>247</v>
      </c>
      <c r="I54" s="117" t="s">
        <v>63</v>
      </c>
    </row>
    <row r="55" spans="1:9" x14ac:dyDescent="0.35">
      <c r="A55" s="117" t="s">
        <v>75</v>
      </c>
      <c r="B55" s="117" t="s">
        <v>303</v>
      </c>
      <c r="C55" s="117" t="s">
        <v>203</v>
      </c>
      <c r="D55" s="126">
        <v>70</v>
      </c>
      <c r="E55" s="126">
        <v>35000</v>
      </c>
      <c r="F55" s="126">
        <v>35000</v>
      </c>
      <c r="G55" s="126">
        <v>35000</v>
      </c>
      <c r="H55" s="117" t="s">
        <v>247</v>
      </c>
      <c r="I55" s="117" t="s">
        <v>63</v>
      </c>
    </row>
    <row r="56" spans="1:9" x14ac:dyDescent="0.35">
      <c r="A56" s="117" t="s">
        <v>75</v>
      </c>
      <c r="B56" s="117" t="s">
        <v>303</v>
      </c>
      <c r="C56" s="117" t="s">
        <v>66</v>
      </c>
      <c r="D56" s="126">
        <v>100</v>
      </c>
      <c r="E56" s="126">
        <v>28000</v>
      </c>
      <c r="F56" s="126">
        <v>28000</v>
      </c>
      <c r="G56" s="126">
        <v>28000</v>
      </c>
      <c r="H56" s="117" t="s">
        <v>247</v>
      </c>
      <c r="I56" s="117" t="s">
        <v>63</v>
      </c>
    </row>
    <row r="57" spans="1:9" x14ac:dyDescent="0.35">
      <c r="A57" s="117" t="s">
        <v>178</v>
      </c>
      <c r="B57" s="117" t="s">
        <v>65</v>
      </c>
      <c r="C57" s="117" t="s">
        <v>66</v>
      </c>
      <c r="D57" s="126">
        <v>120</v>
      </c>
      <c r="E57" s="126">
        <v>13000</v>
      </c>
      <c r="F57" s="126">
        <v>13000</v>
      </c>
      <c r="G57" s="126">
        <v>13000</v>
      </c>
      <c r="H57" s="117" t="s">
        <v>179</v>
      </c>
      <c r="I57" s="117" t="s">
        <v>163</v>
      </c>
    </row>
    <row r="58" spans="1:9" x14ac:dyDescent="0.35">
      <c r="A58" s="117" t="s">
        <v>181</v>
      </c>
      <c r="B58" s="117" t="s">
        <v>304</v>
      </c>
      <c r="C58" s="117" t="s">
        <v>146</v>
      </c>
      <c r="D58" s="126">
        <v>100</v>
      </c>
      <c r="E58" s="126">
        <v>13000</v>
      </c>
      <c r="F58" s="126">
        <v>13000</v>
      </c>
      <c r="G58" s="126">
        <v>13000</v>
      </c>
      <c r="H58" s="117" t="s">
        <v>294</v>
      </c>
      <c r="I58" s="117" t="s">
        <v>135</v>
      </c>
    </row>
    <row r="59" spans="1:9" x14ac:dyDescent="0.35">
      <c r="A59" s="117" t="s">
        <v>181</v>
      </c>
      <c r="B59" s="117" t="s">
        <v>182</v>
      </c>
      <c r="C59" s="117" t="s">
        <v>146</v>
      </c>
      <c r="D59" s="126">
        <v>620</v>
      </c>
      <c r="E59" s="126">
        <v>2500</v>
      </c>
      <c r="F59" s="126">
        <v>2000</v>
      </c>
      <c r="G59" s="126">
        <v>2242</v>
      </c>
      <c r="H59" s="117" t="s">
        <v>183</v>
      </c>
      <c r="I59" s="117" t="s">
        <v>99</v>
      </c>
    </row>
    <row r="60" spans="1:9" x14ac:dyDescent="0.35">
      <c r="A60" s="117" t="s">
        <v>181</v>
      </c>
      <c r="B60" s="117" t="s">
        <v>182</v>
      </c>
      <c r="C60" s="117" t="s">
        <v>184</v>
      </c>
      <c r="D60" s="126">
        <v>180</v>
      </c>
      <c r="E60" s="126">
        <v>1200</v>
      </c>
      <c r="F60" s="126">
        <v>1200</v>
      </c>
      <c r="G60" s="126">
        <v>1200</v>
      </c>
      <c r="H60" s="117" t="s">
        <v>183</v>
      </c>
      <c r="I60" s="117" t="s">
        <v>99</v>
      </c>
    </row>
    <row r="61" spans="1:9" x14ac:dyDescent="0.35">
      <c r="A61" s="117" t="s">
        <v>181</v>
      </c>
      <c r="B61" s="117" t="s">
        <v>305</v>
      </c>
      <c r="C61" s="117" t="s">
        <v>146</v>
      </c>
      <c r="D61" s="126">
        <v>600</v>
      </c>
      <c r="E61" s="126">
        <v>1000</v>
      </c>
      <c r="F61" s="126">
        <v>1000</v>
      </c>
      <c r="G61" s="126">
        <v>1000</v>
      </c>
      <c r="H61" s="117" t="s">
        <v>306</v>
      </c>
      <c r="I61" s="117" t="s">
        <v>167</v>
      </c>
    </row>
    <row r="62" spans="1:9" x14ac:dyDescent="0.35">
      <c r="A62" s="117" t="s">
        <v>181</v>
      </c>
      <c r="B62" s="117" t="s">
        <v>307</v>
      </c>
      <c r="C62" s="117" t="s">
        <v>146</v>
      </c>
      <c r="D62" s="126">
        <v>500</v>
      </c>
      <c r="E62" s="126">
        <v>700</v>
      </c>
      <c r="F62" s="126">
        <v>700</v>
      </c>
      <c r="G62" s="126">
        <v>700</v>
      </c>
      <c r="H62" s="117" t="s">
        <v>183</v>
      </c>
      <c r="I62" s="117" t="s">
        <v>167</v>
      </c>
    </row>
    <row r="63" spans="1:9" x14ac:dyDescent="0.35">
      <c r="A63" s="117" t="s">
        <v>181</v>
      </c>
      <c r="B63" s="117" t="s">
        <v>186</v>
      </c>
      <c r="C63" s="117" t="s">
        <v>146</v>
      </c>
      <c r="D63" s="126">
        <v>1000</v>
      </c>
      <c r="E63" s="126">
        <v>1000</v>
      </c>
      <c r="F63" s="126">
        <v>1000</v>
      </c>
      <c r="G63" s="126">
        <v>1000</v>
      </c>
      <c r="H63" s="117" t="s">
        <v>183</v>
      </c>
      <c r="I63" s="117" t="s">
        <v>99</v>
      </c>
    </row>
    <row r="64" spans="1:9" x14ac:dyDescent="0.35">
      <c r="A64" s="117" t="s">
        <v>181</v>
      </c>
      <c r="B64" s="117" t="s">
        <v>186</v>
      </c>
      <c r="C64" s="117" t="s">
        <v>184</v>
      </c>
      <c r="D64" s="126">
        <v>700</v>
      </c>
      <c r="E64" s="126">
        <v>600</v>
      </c>
      <c r="F64" s="126">
        <v>600</v>
      </c>
      <c r="G64" s="126">
        <v>600</v>
      </c>
      <c r="H64" s="117" t="s">
        <v>183</v>
      </c>
      <c r="I64" s="117" t="s">
        <v>99</v>
      </c>
    </row>
    <row r="65" spans="1:9" ht="15" thickBot="1" x14ac:dyDescent="0.4">
      <c r="A65" s="123" t="s">
        <v>187</v>
      </c>
      <c r="B65" s="123" t="s">
        <v>65</v>
      </c>
      <c r="C65" s="123" t="s">
        <v>66</v>
      </c>
      <c r="D65" s="127">
        <v>170</v>
      </c>
      <c r="E65" s="127">
        <v>23000</v>
      </c>
      <c r="F65" s="127">
        <v>22000</v>
      </c>
      <c r="G65" s="127">
        <v>22529</v>
      </c>
      <c r="H65" s="123" t="s">
        <v>188</v>
      </c>
      <c r="I65" s="123" t="s">
        <v>63</v>
      </c>
    </row>
    <row r="66" spans="1:9" x14ac:dyDescent="0.35">
      <c r="A66" s="128" t="s">
        <v>310</v>
      </c>
      <c r="B66" s="77"/>
      <c r="C66" s="77"/>
      <c r="D66" s="77"/>
      <c r="E66" s="77"/>
      <c r="F66" s="77"/>
      <c r="G66" s="77"/>
      <c r="H66" s="77"/>
      <c r="I6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42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141</v>
      </c>
      <c r="B10" s="122" t="s">
        <v>65</v>
      </c>
      <c r="C10" s="122" t="s">
        <v>66</v>
      </c>
      <c r="D10" s="125">
        <v>1000</v>
      </c>
      <c r="E10" s="125">
        <v>1000</v>
      </c>
      <c r="F10" s="125">
        <v>1000</v>
      </c>
      <c r="G10" s="125">
        <v>1000</v>
      </c>
      <c r="H10" s="122" t="s">
        <v>197</v>
      </c>
      <c r="I10" s="122" t="s">
        <v>251</v>
      </c>
    </row>
    <row r="11" spans="1:9" x14ac:dyDescent="0.35">
      <c r="A11" s="117" t="s">
        <v>141</v>
      </c>
      <c r="B11" s="117" t="s">
        <v>65</v>
      </c>
      <c r="C11" s="117" t="s">
        <v>57</v>
      </c>
      <c r="D11" s="126">
        <v>1000</v>
      </c>
      <c r="E11" s="126">
        <v>800</v>
      </c>
      <c r="F11" s="126">
        <v>800</v>
      </c>
      <c r="G11" s="126">
        <v>800</v>
      </c>
      <c r="H11" s="117" t="s">
        <v>197</v>
      </c>
      <c r="I11" s="117" t="s">
        <v>251</v>
      </c>
    </row>
    <row r="12" spans="1:9" x14ac:dyDescent="0.35">
      <c r="A12" s="117" t="s">
        <v>64</v>
      </c>
      <c r="B12" s="117" t="s">
        <v>65</v>
      </c>
      <c r="C12" s="117" t="s">
        <v>66</v>
      </c>
      <c r="D12" s="126">
        <v>500</v>
      </c>
      <c r="E12" s="126">
        <v>1200</v>
      </c>
      <c r="F12" s="126">
        <v>1200</v>
      </c>
      <c r="G12" s="126">
        <v>1200</v>
      </c>
      <c r="H12" s="117" t="s">
        <v>67</v>
      </c>
      <c r="I12" s="117" t="s">
        <v>251</v>
      </c>
    </row>
    <row r="13" spans="1:9" x14ac:dyDescent="0.35">
      <c r="A13" s="117" t="s">
        <v>64</v>
      </c>
      <c r="B13" s="117" t="s">
        <v>65</v>
      </c>
      <c r="C13" s="117" t="s">
        <v>66</v>
      </c>
      <c r="D13" s="126">
        <v>800</v>
      </c>
      <c r="E13" s="126">
        <v>1300</v>
      </c>
      <c r="F13" s="126">
        <v>1300</v>
      </c>
      <c r="G13" s="126">
        <v>1300</v>
      </c>
      <c r="H13" s="117" t="s">
        <v>67</v>
      </c>
      <c r="I13" s="117" t="s">
        <v>167</v>
      </c>
    </row>
    <row r="14" spans="1:9" x14ac:dyDescent="0.35">
      <c r="A14" s="117" t="s">
        <v>64</v>
      </c>
      <c r="B14" s="117" t="s">
        <v>65</v>
      </c>
      <c r="C14" s="117" t="s">
        <v>57</v>
      </c>
      <c r="D14" s="126">
        <v>500</v>
      </c>
      <c r="E14" s="126">
        <v>1000</v>
      </c>
      <c r="F14" s="126">
        <v>1000</v>
      </c>
      <c r="G14" s="126">
        <v>1000</v>
      </c>
      <c r="H14" s="117" t="s">
        <v>67</v>
      </c>
      <c r="I14" s="117" t="s">
        <v>167</v>
      </c>
    </row>
    <row r="15" spans="1:9" x14ac:dyDescent="0.35">
      <c r="A15" s="117" t="s">
        <v>144</v>
      </c>
      <c r="B15" s="117" t="s">
        <v>65</v>
      </c>
      <c r="C15" s="117" t="s">
        <v>146</v>
      </c>
      <c r="D15" s="126">
        <v>200</v>
      </c>
      <c r="E15" s="126">
        <v>7000</v>
      </c>
      <c r="F15" s="126">
        <v>7000</v>
      </c>
      <c r="G15" s="126">
        <v>7000</v>
      </c>
      <c r="H15" s="117" t="s">
        <v>148</v>
      </c>
      <c r="I15" s="117" t="s">
        <v>167</v>
      </c>
    </row>
    <row r="16" spans="1:9" x14ac:dyDescent="0.35">
      <c r="A16" s="117" t="s">
        <v>144</v>
      </c>
      <c r="B16" s="117" t="s">
        <v>65</v>
      </c>
      <c r="C16" s="117" t="s">
        <v>146</v>
      </c>
      <c r="D16" s="126">
        <v>150</v>
      </c>
      <c r="E16" s="126">
        <v>12000</v>
      </c>
      <c r="F16" s="126">
        <v>12000</v>
      </c>
      <c r="G16" s="126">
        <v>12000</v>
      </c>
      <c r="H16" s="117" t="s">
        <v>175</v>
      </c>
      <c r="I16" s="117" t="s">
        <v>167</v>
      </c>
    </row>
    <row r="17" spans="1:9" x14ac:dyDescent="0.35">
      <c r="A17" s="117" t="s">
        <v>144</v>
      </c>
      <c r="B17" s="117" t="s">
        <v>65</v>
      </c>
      <c r="C17" s="117" t="s">
        <v>184</v>
      </c>
      <c r="D17" s="126">
        <v>200</v>
      </c>
      <c r="E17" s="126">
        <v>6000</v>
      </c>
      <c r="F17" s="126">
        <v>6000</v>
      </c>
      <c r="G17" s="126">
        <v>6000</v>
      </c>
      <c r="H17" s="117" t="s">
        <v>148</v>
      </c>
      <c r="I17" s="117" t="s">
        <v>167</v>
      </c>
    </row>
    <row r="18" spans="1:9" x14ac:dyDescent="0.35">
      <c r="A18" s="117" t="s">
        <v>144</v>
      </c>
      <c r="B18" s="117" t="s">
        <v>65</v>
      </c>
      <c r="C18" s="117" t="s">
        <v>184</v>
      </c>
      <c r="D18" s="126">
        <v>150</v>
      </c>
      <c r="E18" s="126">
        <v>10000</v>
      </c>
      <c r="F18" s="126">
        <v>10000</v>
      </c>
      <c r="G18" s="126">
        <v>10000</v>
      </c>
      <c r="H18" s="117" t="s">
        <v>175</v>
      </c>
      <c r="I18" s="117" t="s">
        <v>167</v>
      </c>
    </row>
    <row r="19" spans="1:9" x14ac:dyDescent="0.35">
      <c r="A19" s="117" t="s">
        <v>150</v>
      </c>
      <c r="B19" s="117" t="s">
        <v>65</v>
      </c>
      <c r="C19" s="117" t="s">
        <v>66</v>
      </c>
      <c r="D19" s="126">
        <v>100</v>
      </c>
      <c r="E19" s="126">
        <v>5000</v>
      </c>
      <c r="F19" s="126">
        <v>5000</v>
      </c>
      <c r="G19" s="126">
        <v>5000</v>
      </c>
      <c r="H19" s="117" t="s">
        <v>151</v>
      </c>
      <c r="I19" s="117" t="s">
        <v>251</v>
      </c>
    </row>
    <row r="20" spans="1:9" x14ac:dyDescent="0.35">
      <c r="A20" s="117" t="s">
        <v>150</v>
      </c>
      <c r="B20" s="117" t="s">
        <v>65</v>
      </c>
      <c r="C20" s="117" t="s">
        <v>66</v>
      </c>
      <c r="D20" s="126">
        <v>80</v>
      </c>
      <c r="E20" s="126">
        <v>6000</v>
      </c>
      <c r="F20" s="126">
        <v>6000</v>
      </c>
      <c r="G20" s="126">
        <v>6000</v>
      </c>
      <c r="H20" s="117" t="s">
        <v>151</v>
      </c>
      <c r="I20" s="117" t="s">
        <v>143</v>
      </c>
    </row>
    <row r="21" spans="1:9" x14ac:dyDescent="0.35">
      <c r="A21" s="117" t="s">
        <v>152</v>
      </c>
      <c r="B21" s="117" t="s">
        <v>65</v>
      </c>
      <c r="C21" s="117" t="s">
        <v>66</v>
      </c>
      <c r="D21" s="126">
        <v>30</v>
      </c>
      <c r="E21" s="126">
        <v>24000</v>
      </c>
      <c r="F21" s="126">
        <v>24000</v>
      </c>
      <c r="G21" s="126">
        <v>24000</v>
      </c>
      <c r="H21" s="117" t="s">
        <v>199</v>
      </c>
      <c r="I21" s="117" t="s">
        <v>167</v>
      </c>
    </row>
    <row r="22" spans="1:9" x14ac:dyDescent="0.35">
      <c r="A22" s="117" t="s">
        <v>154</v>
      </c>
      <c r="B22" s="117" t="s">
        <v>65</v>
      </c>
      <c r="C22" s="117" t="s">
        <v>66</v>
      </c>
      <c r="D22" s="126">
        <v>800</v>
      </c>
      <c r="E22" s="126">
        <v>1500</v>
      </c>
      <c r="F22" s="126">
        <v>1500</v>
      </c>
      <c r="G22" s="126">
        <v>1500</v>
      </c>
      <c r="H22" s="117" t="s">
        <v>67</v>
      </c>
      <c r="I22" s="117" t="s">
        <v>167</v>
      </c>
    </row>
    <row r="23" spans="1:9" x14ac:dyDescent="0.35">
      <c r="A23" s="117" t="s">
        <v>69</v>
      </c>
      <c r="B23" s="117" t="s">
        <v>157</v>
      </c>
      <c r="C23" s="117" t="s">
        <v>66</v>
      </c>
      <c r="D23" s="126">
        <v>80</v>
      </c>
      <c r="E23" s="126">
        <v>13000</v>
      </c>
      <c r="F23" s="126">
        <v>13000</v>
      </c>
      <c r="G23" s="126">
        <v>13000</v>
      </c>
      <c r="H23" s="117" t="s">
        <v>158</v>
      </c>
      <c r="I23" s="117" t="s">
        <v>167</v>
      </c>
    </row>
    <row r="24" spans="1:9" x14ac:dyDescent="0.35">
      <c r="A24" s="117" t="s">
        <v>69</v>
      </c>
      <c r="B24" s="117" t="s">
        <v>70</v>
      </c>
      <c r="C24" s="117" t="s">
        <v>66</v>
      </c>
      <c r="D24" s="126">
        <v>60</v>
      </c>
      <c r="E24" s="126">
        <v>25000</v>
      </c>
      <c r="F24" s="126">
        <v>25000</v>
      </c>
      <c r="G24" s="126">
        <v>25000</v>
      </c>
      <c r="H24" s="117" t="s">
        <v>159</v>
      </c>
      <c r="I24" s="117" t="s">
        <v>196</v>
      </c>
    </row>
    <row r="25" spans="1:9" x14ac:dyDescent="0.35">
      <c r="A25" s="117" t="s">
        <v>69</v>
      </c>
      <c r="B25" s="117" t="s">
        <v>70</v>
      </c>
      <c r="C25" s="117" t="s">
        <v>57</v>
      </c>
      <c r="D25" s="126">
        <v>60</v>
      </c>
      <c r="E25" s="126">
        <v>20000</v>
      </c>
      <c r="F25" s="126">
        <v>20000</v>
      </c>
      <c r="G25" s="126">
        <v>20000</v>
      </c>
      <c r="H25" s="117" t="s">
        <v>72</v>
      </c>
      <c r="I25" s="117" t="s">
        <v>196</v>
      </c>
    </row>
    <row r="26" spans="1:9" x14ac:dyDescent="0.35">
      <c r="A26" s="117" t="s">
        <v>69</v>
      </c>
      <c r="B26" s="117" t="s">
        <v>133</v>
      </c>
      <c r="C26" s="117" t="s">
        <v>66</v>
      </c>
      <c r="D26" s="126">
        <v>80</v>
      </c>
      <c r="E26" s="126">
        <v>10000</v>
      </c>
      <c r="F26" s="126">
        <v>10000</v>
      </c>
      <c r="G26" s="126">
        <v>10000</v>
      </c>
      <c r="H26" s="117" t="s">
        <v>71</v>
      </c>
      <c r="I26" s="117" t="s">
        <v>167</v>
      </c>
    </row>
    <row r="27" spans="1:9" x14ac:dyDescent="0.35">
      <c r="A27" s="117" t="s">
        <v>69</v>
      </c>
      <c r="B27" s="117" t="s">
        <v>216</v>
      </c>
      <c r="C27" s="117" t="s">
        <v>66</v>
      </c>
      <c r="D27" s="126">
        <v>60</v>
      </c>
      <c r="E27" s="126">
        <v>10000</v>
      </c>
      <c r="F27" s="126">
        <v>10000</v>
      </c>
      <c r="G27" s="126">
        <v>10000</v>
      </c>
      <c r="H27" s="117" t="s">
        <v>71</v>
      </c>
      <c r="I27" s="117" t="s">
        <v>167</v>
      </c>
    </row>
    <row r="28" spans="1:9" x14ac:dyDescent="0.35">
      <c r="A28" s="117" t="s">
        <v>160</v>
      </c>
      <c r="B28" s="117" t="s">
        <v>161</v>
      </c>
      <c r="C28" s="117" t="s">
        <v>146</v>
      </c>
      <c r="D28" s="126">
        <v>200</v>
      </c>
      <c r="E28" s="126">
        <v>14000</v>
      </c>
      <c r="F28" s="126">
        <v>14000</v>
      </c>
      <c r="G28" s="126">
        <v>14000</v>
      </c>
      <c r="H28" s="117" t="s">
        <v>162</v>
      </c>
      <c r="I28" s="117" t="s">
        <v>163</v>
      </c>
    </row>
    <row r="29" spans="1:9" x14ac:dyDescent="0.35">
      <c r="A29" s="117" t="s">
        <v>160</v>
      </c>
      <c r="B29" s="117" t="s">
        <v>161</v>
      </c>
      <c r="C29" s="117" t="s">
        <v>184</v>
      </c>
      <c r="D29" s="126">
        <v>150</v>
      </c>
      <c r="E29" s="126">
        <v>12000</v>
      </c>
      <c r="F29" s="126">
        <v>12000</v>
      </c>
      <c r="G29" s="126">
        <v>12000</v>
      </c>
      <c r="H29" s="117" t="s">
        <v>162</v>
      </c>
      <c r="I29" s="117" t="s">
        <v>163</v>
      </c>
    </row>
    <row r="30" spans="1:9" x14ac:dyDescent="0.35">
      <c r="A30" s="117" t="s">
        <v>160</v>
      </c>
      <c r="B30" s="117" t="s">
        <v>164</v>
      </c>
      <c r="C30" s="117" t="s">
        <v>217</v>
      </c>
      <c r="D30" s="126">
        <v>150</v>
      </c>
      <c r="E30" s="126">
        <v>15000</v>
      </c>
      <c r="F30" s="126">
        <v>15000</v>
      </c>
      <c r="G30" s="126">
        <v>15000</v>
      </c>
      <c r="H30" s="117" t="s">
        <v>175</v>
      </c>
      <c r="I30" s="117" t="s">
        <v>163</v>
      </c>
    </row>
    <row r="31" spans="1:9" x14ac:dyDescent="0.35">
      <c r="A31" s="117" t="s">
        <v>252</v>
      </c>
      <c r="B31" s="117" t="s">
        <v>65</v>
      </c>
      <c r="C31" s="117" t="s">
        <v>66</v>
      </c>
      <c r="D31" s="126">
        <v>30</v>
      </c>
      <c r="E31" s="126">
        <v>27000</v>
      </c>
      <c r="F31" s="126">
        <v>27000</v>
      </c>
      <c r="G31" s="126">
        <v>27000</v>
      </c>
      <c r="H31" s="117" t="s">
        <v>177</v>
      </c>
      <c r="I31" s="117" t="s">
        <v>135</v>
      </c>
    </row>
    <row r="32" spans="1:9" x14ac:dyDescent="0.35">
      <c r="A32" s="117" t="s">
        <v>168</v>
      </c>
      <c r="B32" s="117" t="s">
        <v>65</v>
      </c>
      <c r="C32" s="117" t="s">
        <v>66</v>
      </c>
      <c r="D32" s="126">
        <v>60</v>
      </c>
      <c r="E32" s="126">
        <v>15000</v>
      </c>
      <c r="F32" s="126">
        <v>15000</v>
      </c>
      <c r="G32" s="126">
        <v>15000</v>
      </c>
      <c r="H32" s="117" t="s">
        <v>219</v>
      </c>
      <c r="I32" s="117" t="s">
        <v>63</v>
      </c>
    </row>
    <row r="33" spans="1:9" x14ac:dyDescent="0.35">
      <c r="A33" s="117" t="s">
        <v>245</v>
      </c>
      <c r="B33" s="117" t="s">
        <v>65</v>
      </c>
      <c r="C33" s="117" t="s">
        <v>66</v>
      </c>
      <c r="D33" s="126">
        <v>100</v>
      </c>
      <c r="E33" s="126">
        <v>2000</v>
      </c>
      <c r="F33" s="126">
        <v>1500</v>
      </c>
      <c r="G33" s="126">
        <v>1750</v>
      </c>
      <c r="H33" s="117" t="s">
        <v>253</v>
      </c>
      <c r="I33" s="117" t="s">
        <v>254</v>
      </c>
    </row>
    <row r="34" spans="1:9" x14ac:dyDescent="0.35">
      <c r="A34" s="117" t="s">
        <v>174</v>
      </c>
      <c r="B34" s="117" t="s">
        <v>65</v>
      </c>
      <c r="C34" s="117" t="s">
        <v>66</v>
      </c>
      <c r="D34" s="126">
        <v>30</v>
      </c>
      <c r="E34" s="126">
        <v>38000</v>
      </c>
      <c r="F34" s="126">
        <v>38000</v>
      </c>
      <c r="G34" s="126">
        <v>38000</v>
      </c>
      <c r="H34" s="117" t="s">
        <v>175</v>
      </c>
      <c r="I34" s="117" t="s">
        <v>143</v>
      </c>
    </row>
    <row r="35" spans="1:9" x14ac:dyDescent="0.35">
      <c r="A35" s="117" t="s">
        <v>73</v>
      </c>
      <c r="B35" s="117" t="s">
        <v>176</v>
      </c>
      <c r="C35" s="117" t="s">
        <v>66</v>
      </c>
      <c r="D35" s="126">
        <v>700</v>
      </c>
      <c r="E35" s="126">
        <v>2200</v>
      </c>
      <c r="F35" s="126">
        <v>2000</v>
      </c>
      <c r="G35" s="126">
        <v>2057</v>
      </c>
      <c r="H35" s="117" t="s">
        <v>67</v>
      </c>
      <c r="I35" s="117" t="s">
        <v>251</v>
      </c>
    </row>
    <row r="36" spans="1:9" x14ac:dyDescent="0.35">
      <c r="A36" s="117" t="s">
        <v>178</v>
      </c>
      <c r="B36" s="117" t="s">
        <v>65</v>
      </c>
      <c r="C36" s="117" t="s">
        <v>66</v>
      </c>
      <c r="D36" s="126">
        <v>160</v>
      </c>
      <c r="E36" s="126">
        <v>15000</v>
      </c>
      <c r="F36" s="126">
        <v>14000</v>
      </c>
      <c r="G36" s="126">
        <v>14500</v>
      </c>
      <c r="H36" s="117" t="s">
        <v>179</v>
      </c>
      <c r="I36" s="117" t="s">
        <v>254</v>
      </c>
    </row>
    <row r="37" spans="1:9" x14ac:dyDescent="0.35">
      <c r="A37" s="117" t="s">
        <v>187</v>
      </c>
      <c r="B37" s="117" t="s">
        <v>65</v>
      </c>
      <c r="C37" s="117" t="s">
        <v>66</v>
      </c>
      <c r="D37" s="126">
        <v>50</v>
      </c>
      <c r="E37" s="126">
        <v>25000</v>
      </c>
      <c r="F37" s="126">
        <v>25000</v>
      </c>
      <c r="G37" s="126">
        <v>25000</v>
      </c>
      <c r="H37" s="117" t="s">
        <v>188</v>
      </c>
      <c r="I37" s="117" t="s">
        <v>63</v>
      </c>
    </row>
    <row r="38" spans="1:9" ht="15" thickBot="1" x14ac:dyDescent="0.4">
      <c r="A38" s="123" t="s">
        <v>187</v>
      </c>
      <c r="B38" s="123" t="s">
        <v>65</v>
      </c>
      <c r="C38" s="123" t="s">
        <v>57</v>
      </c>
      <c r="D38" s="127">
        <v>50</v>
      </c>
      <c r="E38" s="127">
        <v>20000</v>
      </c>
      <c r="F38" s="127">
        <v>20000</v>
      </c>
      <c r="G38" s="127">
        <v>20000</v>
      </c>
      <c r="H38" s="123" t="s">
        <v>188</v>
      </c>
      <c r="I38" s="123" t="s">
        <v>63</v>
      </c>
    </row>
    <row r="39" spans="1:9" x14ac:dyDescent="0.35">
      <c r="A39" s="128" t="s">
        <v>310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46226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45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60</v>
      </c>
      <c r="B10" s="122" t="s">
        <v>61</v>
      </c>
      <c r="C10" s="122" t="s">
        <v>57</v>
      </c>
      <c r="D10" s="125">
        <v>170</v>
      </c>
      <c r="E10" s="125">
        <v>20000</v>
      </c>
      <c r="F10" s="125">
        <v>18000</v>
      </c>
      <c r="G10" s="125">
        <v>18941</v>
      </c>
      <c r="H10" s="122" t="s">
        <v>62</v>
      </c>
      <c r="I10" s="122" t="s">
        <v>63</v>
      </c>
    </row>
    <row r="11" spans="1:9" x14ac:dyDescent="0.35">
      <c r="A11" s="117" t="s">
        <v>64</v>
      </c>
      <c r="B11" s="117" t="s">
        <v>65</v>
      </c>
      <c r="C11" s="117" t="s">
        <v>66</v>
      </c>
      <c r="D11" s="126">
        <v>250</v>
      </c>
      <c r="E11" s="126">
        <v>1400</v>
      </c>
      <c r="F11" s="126">
        <v>1200</v>
      </c>
      <c r="G11" s="126">
        <v>1280</v>
      </c>
      <c r="H11" s="117" t="s">
        <v>67</v>
      </c>
      <c r="I11" s="117" t="s">
        <v>63</v>
      </c>
    </row>
    <row r="12" spans="1:9" x14ac:dyDescent="0.35">
      <c r="A12" s="117" t="s">
        <v>64</v>
      </c>
      <c r="B12" s="117" t="s">
        <v>65</v>
      </c>
      <c r="C12" s="117" t="s">
        <v>57</v>
      </c>
      <c r="D12" s="126">
        <v>280</v>
      </c>
      <c r="E12" s="126">
        <v>1000</v>
      </c>
      <c r="F12" s="126">
        <v>800</v>
      </c>
      <c r="G12" s="126">
        <v>871</v>
      </c>
      <c r="H12" s="117" t="s">
        <v>67</v>
      </c>
      <c r="I12" s="117" t="s">
        <v>63</v>
      </c>
    </row>
    <row r="13" spans="1:9" x14ac:dyDescent="0.35">
      <c r="A13" s="117" t="s">
        <v>64</v>
      </c>
      <c r="B13" s="117" t="s">
        <v>65</v>
      </c>
      <c r="C13" s="117" t="s">
        <v>68</v>
      </c>
      <c r="D13" s="126">
        <v>410</v>
      </c>
      <c r="E13" s="126">
        <v>800</v>
      </c>
      <c r="F13" s="126">
        <v>600</v>
      </c>
      <c r="G13" s="126">
        <v>693</v>
      </c>
      <c r="H13" s="117" t="s">
        <v>67</v>
      </c>
      <c r="I13" s="117" t="s">
        <v>63</v>
      </c>
    </row>
    <row r="14" spans="1:9" x14ac:dyDescent="0.35">
      <c r="A14" s="117" t="s">
        <v>69</v>
      </c>
      <c r="B14" s="117" t="s">
        <v>70</v>
      </c>
      <c r="C14" s="117" t="s">
        <v>66</v>
      </c>
      <c r="D14" s="126">
        <v>585</v>
      </c>
      <c r="E14" s="126">
        <v>7000</v>
      </c>
      <c r="F14" s="126">
        <v>5000</v>
      </c>
      <c r="G14" s="126">
        <v>6094</v>
      </c>
      <c r="H14" s="117" t="s">
        <v>71</v>
      </c>
      <c r="I14" s="117" t="s">
        <v>63</v>
      </c>
    </row>
    <row r="15" spans="1:9" x14ac:dyDescent="0.35">
      <c r="A15" s="117" t="s">
        <v>69</v>
      </c>
      <c r="B15" s="117" t="s">
        <v>70</v>
      </c>
      <c r="C15" s="117" t="s">
        <v>57</v>
      </c>
      <c r="D15" s="126">
        <v>490</v>
      </c>
      <c r="E15" s="126">
        <v>7000</v>
      </c>
      <c r="F15" s="126">
        <v>5000</v>
      </c>
      <c r="G15" s="126">
        <v>6082</v>
      </c>
      <c r="H15" s="117" t="s">
        <v>72</v>
      </c>
      <c r="I15" s="117" t="s">
        <v>63</v>
      </c>
    </row>
    <row r="16" spans="1:9" x14ac:dyDescent="0.35">
      <c r="A16" s="117" t="s">
        <v>73</v>
      </c>
      <c r="B16" s="117" t="s">
        <v>74</v>
      </c>
      <c r="C16" s="117" t="s">
        <v>57</v>
      </c>
      <c r="D16" s="126">
        <v>160</v>
      </c>
      <c r="E16" s="126">
        <v>1500</v>
      </c>
      <c r="F16" s="126">
        <v>1400</v>
      </c>
      <c r="G16" s="126">
        <v>1438</v>
      </c>
      <c r="H16" s="117" t="s">
        <v>67</v>
      </c>
      <c r="I16" s="117" t="s">
        <v>63</v>
      </c>
    </row>
    <row r="17" spans="1:9" x14ac:dyDescent="0.35">
      <c r="A17" s="117" t="s">
        <v>73</v>
      </c>
      <c r="B17" s="117" t="s">
        <v>74</v>
      </c>
      <c r="C17" s="117" t="s">
        <v>68</v>
      </c>
      <c r="D17" s="126">
        <v>300</v>
      </c>
      <c r="E17" s="126">
        <v>1000</v>
      </c>
      <c r="F17" s="126">
        <v>1000</v>
      </c>
      <c r="G17" s="126">
        <v>1000</v>
      </c>
      <c r="H17" s="117" t="s">
        <v>67</v>
      </c>
      <c r="I17" s="117" t="s">
        <v>63</v>
      </c>
    </row>
    <row r="18" spans="1:9" x14ac:dyDescent="0.35">
      <c r="A18" s="117" t="s">
        <v>75</v>
      </c>
      <c r="B18" s="117" t="s">
        <v>76</v>
      </c>
      <c r="C18" s="117" t="s">
        <v>66</v>
      </c>
      <c r="D18" s="126">
        <v>200</v>
      </c>
      <c r="E18" s="126">
        <v>8000</v>
      </c>
      <c r="F18" s="126">
        <v>6000</v>
      </c>
      <c r="G18" s="126">
        <v>7000</v>
      </c>
      <c r="H18" s="117" t="s">
        <v>77</v>
      </c>
      <c r="I18" s="117" t="s">
        <v>63</v>
      </c>
    </row>
    <row r="19" spans="1:9" x14ac:dyDescent="0.35">
      <c r="A19" s="117" t="s">
        <v>75</v>
      </c>
      <c r="B19" s="117" t="s">
        <v>78</v>
      </c>
      <c r="C19" s="117" t="s">
        <v>66</v>
      </c>
      <c r="D19" s="126">
        <v>270</v>
      </c>
      <c r="E19" s="126">
        <v>2500</v>
      </c>
      <c r="F19" s="126">
        <v>2000</v>
      </c>
      <c r="G19" s="126">
        <v>2250</v>
      </c>
      <c r="H19" s="117" t="s">
        <v>79</v>
      </c>
      <c r="I19" s="117" t="s">
        <v>63</v>
      </c>
    </row>
    <row r="20" spans="1:9" x14ac:dyDescent="0.35">
      <c r="A20" s="117" t="s">
        <v>75</v>
      </c>
      <c r="B20" s="117" t="s">
        <v>78</v>
      </c>
      <c r="C20" s="117" t="s">
        <v>57</v>
      </c>
      <c r="D20" s="126">
        <v>300</v>
      </c>
      <c r="E20" s="126">
        <v>2000</v>
      </c>
      <c r="F20" s="126">
        <v>1500</v>
      </c>
      <c r="G20" s="126">
        <v>1750</v>
      </c>
      <c r="H20" s="117" t="s">
        <v>79</v>
      </c>
      <c r="I20" s="117" t="s">
        <v>63</v>
      </c>
    </row>
    <row r="21" spans="1:9" ht="15" thickBot="1" x14ac:dyDescent="0.4">
      <c r="A21" s="123" t="s">
        <v>75</v>
      </c>
      <c r="B21" s="123" t="s">
        <v>78</v>
      </c>
      <c r="C21" s="123" t="s">
        <v>68</v>
      </c>
      <c r="D21" s="127">
        <v>300</v>
      </c>
      <c r="E21" s="127">
        <v>1500</v>
      </c>
      <c r="F21" s="127">
        <v>1000</v>
      </c>
      <c r="G21" s="127">
        <v>1250</v>
      </c>
      <c r="H21" s="123" t="s">
        <v>79</v>
      </c>
      <c r="I21" s="123" t="s">
        <v>63</v>
      </c>
    </row>
    <row r="22" spans="1:9" x14ac:dyDescent="0.35">
      <c r="A22" s="128" t="s">
        <v>310</v>
      </c>
      <c r="B22" s="77"/>
      <c r="C22" s="77"/>
      <c r="D22" s="77"/>
      <c r="E22" s="77"/>
      <c r="F22" s="77"/>
      <c r="G22" s="77"/>
      <c r="H22" s="77"/>
      <c r="I2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2026-07-23T14:11:31Z</dcterms:modified>
</cp:coreProperties>
</file>